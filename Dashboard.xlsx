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I:\Excel-Dashboard\Excel-Dashboard-fnp\"/>
    </mc:Choice>
  </mc:AlternateContent>
  <xr:revisionPtr revIDLastSave="0" documentId="13_ncr:1_{CC8B7404-D854-4949-BA4D-1AEBBEC21CED}" xr6:coauthVersionLast="47" xr6:coauthVersionMax="47" xr10:uidLastSave="{00000000-0000-0000-0000-000000000000}"/>
  <bookViews>
    <workbookView xWindow="-120" yWindow="-120" windowWidth="29040" windowHeight="15720" activeTab="4" xr2:uid="{21DC35CB-D55F-4B21-B8F4-959FB49F4BE8}"/>
  </bookViews>
  <sheets>
    <sheet name="Customers" sheetId="3" r:id="rId1"/>
    <sheet name="orders" sheetId="4" r:id="rId2"/>
    <sheet name="products" sheetId="5" r:id="rId3"/>
    <sheet name="Sheet1" sheetId="1" r:id="rId4"/>
    <sheet name="Dashboard" sheetId="8" r:id="rId5"/>
  </sheets>
  <definedNames>
    <definedName name="ExternalData_2" localSheetId="0" hidden="1">'Customers'!$A$1:$G$101</definedName>
    <definedName name="ExternalData_3" localSheetId="1" hidden="1">orders!$A$1:$Q$1001</definedName>
    <definedName name="ExternalData_4" localSheetId="2" hidden="1">products!$A$1:$F$71</definedName>
    <definedName name="Slicer_Category">#N/A</definedName>
    <definedName name="Slicer_Occasion">#N/A</definedName>
    <definedName name="Timeline_Order_Date">#N/A</definedName>
  </definedNames>
  <calcPr calcId="191029"/>
  <pivotCaches>
    <pivotCache cacheId="175" r:id="rId6"/>
    <pivotCache cacheId="212" r:id="rId7"/>
    <pivotCache cacheId="1060" r:id="rId8"/>
    <pivotCache cacheId="1063" r:id="rId9"/>
    <pivotCache cacheId="1072" r:id="rId10"/>
    <pivotCache cacheId="1147" r:id="rId11"/>
    <pivotCache cacheId="1150" r:id="rId12"/>
    <pivotCache cacheId="1153" r:id="rId13"/>
    <pivotCache cacheId="1156" r:id="rId14"/>
    <pivotCache cacheId="1159" r:id="rId15"/>
    <pivotCache cacheId="1162" r:id="rId16"/>
  </pivotCaches>
  <extLst>
    <ext xmlns:x14="http://schemas.microsoft.com/office/spreadsheetml/2009/9/main" uri="{876F7934-8845-4945-9796-88D515C7AA90}">
      <x14:pivotCaches>
        <pivotCache cacheId="22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Dashboard-fnp_606959b6-4d4b-4719-bfc2-e63874f5f08a" name="Excel-Dashboard-fnp" connection="Query - Excel-Dashboard-fnp"/>
          <x15:modelTable id="Customers_ed2b953e-8321-43f2-9412-f219da26f499" name="Customers" connection="Query - Customers"/>
          <x15:modelTable id="orders_5c8d3395-71a3-4afd-b378-1f01ba296f16" name="orders" connection="Query - orders"/>
          <x15:modelTable id="products_3ee6edab-39d8-4da8-9c33-c62364adcf6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 i="1" l="1"/>
  <c r="W5" i="8"/>
  <c r="O5" i="8"/>
  <c r="F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594BE8-A258-4DC7-BA9C-11AADD55CACF}"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D8862CA0-3E89-4E1F-86FF-2672EC7C17DE}"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DB75B018-A51B-4B00-8D37-EC6F83678836}"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74E9F686-0593-493E-BD80-ED0D216AE1A8}" name="Query - Customers" description="Connection to the 'Customers' query in the workbook." type="100" refreshedVersion="7" minRefreshableVersion="5">
    <extLst>
      <ext xmlns:x15="http://schemas.microsoft.com/office/spreadsheetml/2010/11/main" uri="{DE250136-89BD-433C-8126-D09CA5730AF9}">
        <x15:connection id="313270b9-03e2-41b5-a6fa-3522e6c5cefe"/>
      </ext>
    </extLst>
  </connection>
  <connection id="5" xr16:uid="{AA4FF137-56FA-4021-BCD3-79B1B7D213E9}" name="Query - Excel-Dashboard-fnp" description="Connection to the 'Excel-Dashboard-fnp' query in the workbook." type="100" refreshedVersion="7" minRefreshableVersion="5">
    <extLst>
      <ext xmlns:x15="http://schemas.microsoft.com/office/spreadsheetml/2010/11/main" uri="{DE250136-89BD-433C-8126-D09CA5730AF9}">
        <x15:connection id="d1595cb3-2ec6-4224-a3d7-70ffa189a1c1"/>
      </ext>
    </extLst>
  </connection>
  <connection id="6" xr16:uid="{1BDBF0BB-9CBB-4643-B2F7-1850F1CB9FE9}" name="Query - orders" description="Connection to the 'orders' query in the workbook." type="100" refreshedVersion="7" minRefreshableVersion="5">
    <extLst>
      <ext xmlns:x15="http://schemas.microsoft.com/office/spreadsheetml/2010/11/main" uri="{DE250136-89BD-433C-8126-D09CA5730AF9}">
        <x15:connection id="96c17117-a6fd-48c0-a3e0-a1ae2c3b5b65"/>
      </ext>
    </extLst>
  </connection>
  <connection id="7" xr16:uid="{A552B593-D7AA-487F-9E11-4D24F3BB677D}" name="Query - products" description="Connection to the 'products' query in the workbook." type="100" refreshedVersion="7" minRefreshableVersion="5">
    <extLst>
      <ext xmlns:x15="http://schemas.microsoft.com/office/spreadsheetml/2010/11/main" uri="{DE250136-89BD-433C-8126-D09CA5730AF9}">
        <x15:connection id="8f473349-7248-438e-8235-253c29a702ff"/>
      </ext>
    </extLst>
  </connection>
  <connection id="8" xr16:uid="{F48E28DD-433C-4B64-8706-5E48E2EE53F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<sst xmlns="http://schemas.openxmlformats.org/spreadsheetml/2006/main" count="6096" uniqueCount="1018">
  <si>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</si>
  <si>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</si>
  <si>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</si>
  <si>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</si>
  <si>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</si>
  <si>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</si>
  <si>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</si>
  <si>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</si>
  <si>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</si>
  <si>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</si>
  <si>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</si>
  <si>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</si>
  <si>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</si>
  <si>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</si>
  <si>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</si>
  <si>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</si>
  <si>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</si>
  <si>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</si>
  <si>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</si>
  <si>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</si>
  <si>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</si>
  <si>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</si>
  <si>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</si>
  <si>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</si>
  <si>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</si>
  <si>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</si>
  <si>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</si>
  <si>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</si>
  <si>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</si>
  <si>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</si>
  <si>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</si>
  <si>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</si>
  <si>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</si>
  <si>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</si>
  <si>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</si>
  <si>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</si>
  <si>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</si>
  <si>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</si>
  <si>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</si>
  <si>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</si>
  <si>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</si>
  <si>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</si>
  <si>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</si>
  <si>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</si>
  <si>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</si>
  <si>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</si>
  <si>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</si>
  <si>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</si>
  <si>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</si>
  <si>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</si>
  <si>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</si>
  <si>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</si>
  <si>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</si>
  <si>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</si>
  <si>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</si>
  <si>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</si>
  <si>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</si>
  <si>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</si>
  <si>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</si>
  <si>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</si>
  <si>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</si>
  <si>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</si>
  <si>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</si>
  <si>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</si>
  <si>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</si>
  <si>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</si>
  <si>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</si>
  <si>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</si>
  <si>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</si>
  <si>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</si>
  <si>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</si>
  <si>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</si>
  <si>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</si>
  <si>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</si>
  <si>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</si>
  <si>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</si>
  <si>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</si>
  <si>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</si>
  <si>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</si>
  <si>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</si>
  <si>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</si>
  <si>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</si>
  <si>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</si>
  <si>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</si>
  <si>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</si>
  <si>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</si>
  <si>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</si>
  <si>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</si>
  <si>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</si>
  <si>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</si>
  <si>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</si>
  <si>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</si>
  <si>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</si>
  <si>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</si>
  <si>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</si>
  <si>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</si>
  <si>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</si>
  <si>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</si>
  <si>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</si>
  <si>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</si>
  <si>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</si>
  <si>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</si>
  <si>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</si>
  <si>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</si>
  <si>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</si>
  <si>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</si>
  <si>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</si>
  <si>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</si>
  <si>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</si>
  <si>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</si>
  <si>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</si>
  <si>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</si>
  <si>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</si>
  <si>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</si>
  <si>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</si>
  <si>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</si>
  <si>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</si>
  <si>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</si>
  <si>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</si>
  <si>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</si>
  <si>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</si>
  <si>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</si>
  <si>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</si>
  <si>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</si>
  <si>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</si>
  <si>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</si>
  <si>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</si>
  <si>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</si>
  <si>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</si>
  <si>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</si>
  <si>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</si>
  <si>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</si>
  <si>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</si>
  <si>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</si>
  <si>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</si>
  <si>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</si>
  <si>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</si>
  <si>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</si>
  <si>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</si>
  <si>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</si>
  <si>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</si>
  <si>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</si>
  <si>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</si>
  <si>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</si>
  <si>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</si>
  <si>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</si>
  <si>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</si>
  <si>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</si>
  <si>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</si>
  <si>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</si>
  <si>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</si>
  <si>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</si>
  <si>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</si>
  <si>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</si>
  <si>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</si>
  <si>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</si>
  <si>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</si>
  <si>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</si>
  <si>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</si>
  <si>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</si>
  <si>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</si>
  <si>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</si>
  <si>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</si>
  <si>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</si>
  <si>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</si>
  <si>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</si>
  <si>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</si>
  <si>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</si>
  <si>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</si>
  <si>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</si>
  <si>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</si>
  <si>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</si>
  <si>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</si>
  <si>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</si>
  <si>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</si>
  <si>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</si>
  <si>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</si>
  <si>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</si>
  <si>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</si>
  <si>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</si>
  <si>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</si>
  <si>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</si>
  <si>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</si>
  <si>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</si>
  <si>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</si>
  <si>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</si>
  <si>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</si>
  <si>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</si>
  <si>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</si>
  <si>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</si>
  <si>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</si>
  <si>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</si>
  <si>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</si>
  <si>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</si>
  <si>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</si>
  <si>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</si>
  <si>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</si>
  <si>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</si>
  <si>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</si>
  <si>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</si>
  <si>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</si>
  <si>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</si>
  <si>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</si>
  <si>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</si>
  <si>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</si>
  <si>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</si>
  <si>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</si>
  <si>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</si>
  <si>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</si>
  <si>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</si>
  <si>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</si>
  <si>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</si>
  <si>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</si>
  <si>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</si>
  <si>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</si>
  <si>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</si>
  <si>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</si>
  <si>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</si>
  <si>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</si>
  <si>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</si>
  <si>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</si>
  <si>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</si>
  <si>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</si>
  <si>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</si>
  <si>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</si>
  <si>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</si>
  <si>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</si>
  <si>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</si>
  <si>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</si>
  <si>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</si>
  <si>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</si>
  <si>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</si>
  <si>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</si>
  <si>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</si>
  <si>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</si>
  <si>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</si>
  <si>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</si>
  <si>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</si>
  <si>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</si>
  <si>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</si>
  <si>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</si>
  <si>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</si>
  <si>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</si>
  <si>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</si>
  <si>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</si>
  <si>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</si>
  <si>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</si>
  <si>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</si>
  <si>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</si>
  <si>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</si>
  <si>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</si>
  <si>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</si>
  <si>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</si>
  <si>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</si>
  <si>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</si>
  <si>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</si>
  <si>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</si>
  <si>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</si>
  <si>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</si>
  <si>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</si>
  <si>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</si>
  <si>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</si>
  <si>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</si>
  <si>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</si>
  <si>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</si>
  <si>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</si>
  <si>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</si>
  <si>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</si>
  <si>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</si>
  <si>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</si>
  <si>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</si>
  <si>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</si>
  <si>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</si>
  <si>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</si>
  <si>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</si>
  <si>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</si>
  <si>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</si>
  <si>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</si>
  <si>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</si>
  <si>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</si>
  <si>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</si>
  <si>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</si>
  <si>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</si>
  <si>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</si>
  <si>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</si>
  <si>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</si>
  <si>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</si>
  <si>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</si>
  <si>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</si>
  <si>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</si>
  <si>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</si>
  <si>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</si>
  <si>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</si>
  <si>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</si>
  <si>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</si>
  <si>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</si>
  <si>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</si>
  <si>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</si>
  <si>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</si>
  <si>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</si>
  <si>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</si>
  <si>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</si>
  <si>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</si>
  <si>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</si>
  <si>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</si>
  <si>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</si>
  <si>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</si>
  <si>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</si>
  <si>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</si>
  <si>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</si>
  <si>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</si>
  <si>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</si>
  <si>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</si>
  <si>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</si>
  <si>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</si>
  <si>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</si>
  <si>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</si>
  <si>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</si>
  <si>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</si>
  <si>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</si>
  <si>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</si>
  <si>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</si>
  <si>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</si>
  <si>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</si>
  <si>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</si>
  <si>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</si>
  <si>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</si>
  <si>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</si>
  <si>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</si>
  <si>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</si>
  <si>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</si>
  <si>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</si>
  <si>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</si>
  <si>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</si>
  <si>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</si>
  <si>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</si>
  <si>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</si>
  <si>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</si>
  <si>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</si>
  <si>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</si>
  <si>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</si>
  <si>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</si>
  <si>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</si>
  <si>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</si>
  <si>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</si>
  <si>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</si>
  <si>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</si>
  <si>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</si>
  <si>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</si>
  <si>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</si>
  <si>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</si>
  <si>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</si>
  <si>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</si>
  <si>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</si>
  <si>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</si>
  <si>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</si>
  <si>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</si>
  <si>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</si>
  <si>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</si>
  <si>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</si>
  <si>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</si>
  <si>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</si>
  <si>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</si>
  <si>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</si>
  <si>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</si>
  <si>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</si>
  <si>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</si>
  <si>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</si>
  <si>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</si>
  <si>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</si>
  <si>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</si>
  <si>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</si>
  <si>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</si>
  <si>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</si>
  <si>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</si>
  <si>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</si>
  <si>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</si>
  <si>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</si>
  <si>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</si>
  <si>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</si>
  <si>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</si>
  <si>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</si>
  <si>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</si>
  <si>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</si>
  <si>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</si>
  <si>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</si>
  <si>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</si>
  <si>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</si>
  <si>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</si>
  <si>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</si>
  <si>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</si>
  <si>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</si>
  <si>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</si>
  <si>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</si>
  <si>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</si>
  <si>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</si>
  <si>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</si>
  <si>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</si>
  <si>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</si>
  <si>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</si>
  <si>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</si>
  <si>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</si>
  <si>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</si>
  <si>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</si>
  <si>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</si>
  <si>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</si>
  <si>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</si>
  <si>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</si>
  <si>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</si>
  <si>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</si>
  <si>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</si>
  <si>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</si>
  <si>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</si>
  <si>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</si>
  <si>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</si>
  <si>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</si>
  <si>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</si>
  <si>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</si>
  <si>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</si>
  <si>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</si>
  <si>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</si>
  <si>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</si>
  <si>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</si>
  <si>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</si>
  <si>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</si>
  <si>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</si>
  <si>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</si>
  <si>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</si>
  <si>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</si>
  <si>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</si>
  <si>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</si>
  <si>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</si>
  <si>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</si>
  <si>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</si>
  <si>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</si>
  <si>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</si>
  <si>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</si>
  <si>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</si>
  <si>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</si>
  <si>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</si>
  <si>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</si>
  <si>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</si>
  <si>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</si>
  <si>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</si>
  <si>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</si>
  <si>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</si>
  <si>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</si>
  <si>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</si>
  <si>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</si>
  <si>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</si>
  <si>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</si>
  <si>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</si>
  <si>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</si>
  <si>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</si>
  <si>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</si>
  <si>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</si>
  <si>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</si>
  <si>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</si>
  <si>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</si>
  <si>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</si>
  <si>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</si>
  <si>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</si>
  <si>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</si>
  <si>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</si>
  <si>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</si>
  <si>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</si>
  <si>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</si>
  <si>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</si>
  <si>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</si>
  <si>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</si>
  <si>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</si>
  <si>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</si>
  <si>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</si>
  <si>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</si>
  <si>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</si>
  <si>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</si>
  <si>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</si>
  <si>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</si>
  <si>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</si>
  <si>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</si>
  <si>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</si>
  <si>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</si>
  <si>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</si>
  <si>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</si>
  <si>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</si>
  <si>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</si>
  <si>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</si>
  <si>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</si>
  <si>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</si>
  <si>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</si>
  <si>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</si>
  <si>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</si>
  <si>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</si>
  <si>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</si>
  <si>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</si>
  <si>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</si>
  <si>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</si>
  <si>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</si>
  <si>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</si>
  <si>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</si>
  <si>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</si>
  <si>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</si>
  <si>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</si>
  <si>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</si>
  <si>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</si>
  <si>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</si>
  <si>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</si>
  <si>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</si>
  <si>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</si>
  <si>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</si>
  <si>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</si>
  <si>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</si>
  <si>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</si>
  <si>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</si>
  <si>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</si>
  <si>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</si>
  <si>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</si>
  <si>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</si>
  <si>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</si>
  <si>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</si>
  <si>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</si>
  <si>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</si>
  <si>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</si>
  <si>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</si>
  <si>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</si>
  <si>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</si>
  <si>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</si>
  <si>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</si>
  <si>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</si>
  <si>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</si>
  <si>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</si>
  <si>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</si>
  <si>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</si>
  <si>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</si>
  <si>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</si>
  <si>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</si>
  <si>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</si>
  <si>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</si>
  <si>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</si>
  <si>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</si>
  <si>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</si>
  <si>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</si>
  <si>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</si>
  <si>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</si>
  <si>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</si>
  <si>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</si>
  <si>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</si>
  <si>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</si>
  <si>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</si>
  <si>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</si>
  <si>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</si>
  <si>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</si>
  <si>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</si>
  <si>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</si>
  <si>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</si>
  <si>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</si>
  <si>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</si>
  <si>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</si>
  <si>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</si>
  <si>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</si>
  <si>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</si>
  <si>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</si>
  <si>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</si>
  <si>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</si>
  <si>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</si>
  <si>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</si>
  <si>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</si>
  <si>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</si>
  <si>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</si>
  <si>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</si>
  <si>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</si>
  <si>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</si>
  <si>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</si>
  <si>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</si>
  <si>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</si>
  <si>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</si>
  <si>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</si>
  <si>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</si>
  <si>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</si>
  <si>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</si>
  <si>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</si>
  <si>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</si>
  <si>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</si>
  <si>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</si>
  <si>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</si>
  <si>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</si>
  <si>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</si>
  <si>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</si>
  <si>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</si>
  <si>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</si>
  <si>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</si>
  <si>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</si>
  <si>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</si>
  <si>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</si>
  <si>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</si>
  <si>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</si>
  <si>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</si>
  <si>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</si>
  <si>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</si>
  <si>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</si>
  <si>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</si>
  <si>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</si>
  <si>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</si>
  <si>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</si>
  <si>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(orders)</t>
  </si>
  <si>
    <t>Hour (orders)</t>
  </si>
  <si>
    <t>diff-delivery-orders</t>
  </si>
  <si>
    <t>Hour (delivery)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</si>
  <si>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</si>
  <si>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</si>
  <si>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</si>
  <si>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</si>
  <si>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</si>
  <si>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</si>
  <si>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</si>
  <si>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</si>
  <si>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</si>
  <si>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</si>
  <si>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</si>
  <si>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</si>
  <si>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</si>
  <si>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</si>
  <si>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</si>
  <si>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</si>
  <si>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</si>
  <si>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</si>
  <si>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</si>
  <si>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</si>
  <si>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</si>
  <si>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</si>
  <si>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</si>
  <si>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</si>
  <si>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</si>
  <si>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</si>
  <si>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</si>
  <si>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</si>
  <si>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</si>
  <si>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</si>
  <si>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</si>
  <si>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</si>
  <si>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</si>
  <si>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</si>
  <si>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</si>
  <si>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</si>
  <si>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</si>
  <si>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</si>
  <si>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</si>
  <si>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</si>
  <si>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</si>
  <si>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</si>
  <si>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</si>
  <si>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</si>
  <si>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</si>
  <si>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</si>
  <si>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</si>
  <si>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</si>
  <si>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</si>
  <si>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</si>
  <si>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</si>
  <si>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</si>
  <si>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</si>
  <si>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</si>
  <si>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</si>
  <si>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</si>
  <si>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</si>
  <si>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</si>
  <si>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</si>
  <si>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</si>
  <si>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</si>
  <si>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</si>
  <si>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</si>
  <si>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</si>
  <si>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</si>
  <si>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</si>
  <si>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</si>
  <si>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</si>
  <si>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</si>
  <si>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</si>
  <si>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</si>
  <si>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</si>
  <si>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</si>
  <si>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</si>
  <si>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</si>
  <si>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</si>
  <si>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</si>
  <si>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</si>
  <si>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</si>
  <si>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</si>
  <si>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</si>
  <si>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</si>
  <si>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</si>
  <si>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</si>
  <si>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</si>
  <si>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</si>
  <si>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</si>
  <si>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</si>
  <si>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</si>
  <si>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</si>
  <si>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</si>
  <si>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</si>
  <si>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</si>
  <si>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</si>
  <si>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</si>
  <si>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</si>
  <si>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</si>
  <si>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</si>
  <si>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</si>
  <si>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</si>
  <si>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</si>
  <si>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</si>
  <si>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</si>
  <si>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</si>
  <si>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</si>
  <si>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</si>
  <si>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</si>
  <si>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</si>
  <si>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</si>
  <si>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</si>
  <si>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</si>
  <si>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</si>
  <si>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</si>
  <si>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</si>
  <si>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</si>
  <si>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</si>
  <si>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</si>
  <si>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</si>
  <si>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</si>
  <si>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</si>
  <si>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</si>
  <si>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</si>
  <si>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</si>
  <si>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</si>
  <si>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</si>
  <si>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</si>
  <si>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</si>
  <si>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</si>
  <si>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</si>
  <si>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</si>
  <si>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</si>
  <si>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</si>
  <si>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</si>
  <si>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</si>
  <si>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</si>
  <si>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</si>
  <si>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</si>
  <si>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</si>
  <si>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</si>
  <si>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</si>
  <si>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</si>
  <si>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</si>
  <si>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</si>
  <si>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</si>
  <si>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</si>
  <si>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</si>
  <si>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</si>
  <si>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</si>
  <si>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</si>
  <si>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</si>
  <si>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</si>
  <si>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</si>
  <si>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</si>
  <si>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</si>
  <si>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</si>
  <si>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</si>
  <si>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</si>
  <si>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</si>
  <si>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</si>
  <si>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</si>
  <si>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</si>
  <si>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</si>
  <si>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</si>
  <si>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</si>
  <si>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</si>
  <si>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</si>
  <si>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</si>
  <si>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</si>
  <si>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</si>
  <si>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</si>
  <si>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</si>
  <si>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</si>
  <si>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</si>
  <si>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</si>
  <si>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</si>
  <si>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</si>
  <si>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</si>
  <si>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</si>
  <si>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</si>
  <si>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</si>
  <si>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</si>
  <si>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</si>
  <si>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</si>
  <si>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</si>
  <si>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</si>
  <si>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</si>
  <si>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</si>
  <si>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</si>
  <si>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</si>
  <si>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</si>
  <si>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</si>
  <si>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</si>
  <si>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</si>
  <si>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</si>
  <si>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</si>
  <si>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</si>
  <si>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</si>
  <si>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</si>
  <si>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</si>
  <si>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</si>
  <si>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</si>
  <si>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</si>
  <si>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</si>
  <si>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</si>
  <si>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</si>
  <si>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</si>
  <si>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</si>
  <si>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</si>
  <si>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</si>
  <si>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</si>
  <si>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</si>
  <si>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</si>
  <si>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</si>
  <si>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</si>
  <si>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</si>
  <si>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</si>
  <si>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</si>
  <si>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</si>
  <si>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</si>
  <si>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</si>
  <si>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</si>
  <si>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</si>
  <si>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</si>
  <si>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</si>
  <si>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</si>
  <si>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</si>
  <si>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</si>
  <si>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</si>
  <si>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</si>
  <si>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</si>
  <si>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</si>
  <si>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</si>
  <si>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</si>
  <si>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</si>
  <si>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</si>
  <si>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</si>
  <si>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</si>
  <si>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</si>
  <si>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</si>
  <si>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</si>
  <si>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</si>
  <si>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</si>
  <si>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</si>
  <si>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</si>
  <si>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</si>
  <si>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</si>
  <si>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</si>
  <si>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</si>
  <si>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</si>
  <si>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</si>
  <si>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</si>
  <si>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</si>
  <si>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</si>
  <si>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</si>
  <si>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</si>
  <si>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</si>
  <si>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</si>
  <si>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</si>
  <si>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</si>
  <si>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</si>
  <si>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</si>
  <si>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</si>
  <si>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</si>
  <si>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</si>
  <si>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</si>
  <si>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</si>
  <si>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</si>
  <si>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</si>
  <si>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</si>
  <si>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</si>
  <si>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</si>
  <si>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</si>
  <si>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</si>
  <si>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</si>
  <si>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</si>
  <si>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</si>
  <si>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</si>
  <si>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</si>
  <si>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</si>
  <si>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</si>
  <si>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</si>
  <si>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</si>
  <si>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</si>
  <si>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</si>
  <si>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</si>
  <si>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</si>
  <si>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</si>
  <si>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</si>
  <si>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</si>
  <si>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</si>
  <si>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</si>
  <si>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</si>
  <si>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</si>
  <si>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</si>
  <si>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</si>
  <si>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</si>
  <si>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</si>
  <si>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</si>
  <si>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</si>
  <si>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</si>
  <si>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</si>
  <si>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</si>
  <si>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</si>
  <si>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</si>
  <si>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</si>
  <si>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</si>
  <si>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</si>
  <si>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</si>
  <si>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</si>
  <si>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</si>
  <si>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</si>
  <si>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</si>
  <si>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</si>
  <si>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</si>
  <si>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</si>
  <si>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</si>
  <si>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</si>
  <si>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</si>
  <si>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</si>
  <si>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</si>
  <si>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</si>
  <si>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</si>
  <si>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</si>
  <si>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</si>
  <si>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</si>
  <si>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</si>
  <si>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</si>
  <si>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</si>
  <si>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</si>
  <si>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</si>
  <si>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</si>
  <si>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</si>
  <si>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</si>
  <si>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</si>
  <si>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</si>
  <si>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</si>
  <si>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</si>
  <si>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</si>
  <si>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</si>
  <si>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</si>
  <si>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</si>
  <si>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</si>
  <si>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</si>
  <si>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</si>
  <si>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</si>
  <si>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</si>
  <si>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</si>
  <si>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</si>
  <si>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</si>
  <si>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</si>
  <si>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</si>
  <si>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</si>
  <si>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</si>
  <si>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</si>
  <si>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</si>
  <si>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</si>
  <si>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</si>
  <si>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</si>
  <si>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</si>
  <si>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</si>
  <si>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</si>
  <si>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</si>
  <si>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</si>
  <si>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</si>
  <si>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</si>
  <si>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</si>
  <si>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</si>
  <si>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</si>
  <si>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</si>
  <si>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</si>
  <si>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</si>
  <si>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</si>
  <si>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</si>
  <si>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</si>
  <si>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</si>
  <si>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</si>
  <si>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</si>
  <si>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</si>
  <si>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</si>
  <si>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</si>
  <si>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</si>
  <si>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</si>
  <si>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</si>
  <si>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</si>
  <si>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</si>
  <si>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</si>
  <si>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</si>
  <si>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Revenue</t>
  </si>
  <si>
    <t>weekdays (orders)</t>
  </si>
  <si>
    <t>Saturday</t>
  </si>
  <si>
    <t>Wednesday</t>
  </si>
  <si>
    <t>Friday</t>
  </si>
  <si>
    <t>Sunday</t>
  </si>
  <si>
    <t>Monday</t>
  </si>
  <si>
    <t>Tuesday</t>
  </si>
  <si>
    <t>Thursday</t>
  </si>
  <si>
    <t>Total Revenue</t>
  </si>
  <si>
    <t>Average order and delivery time</t>
  </si>
  <si>
    <t>Month</t>
  </si>
  <si>
    <t>Monthy sales performance</t>
  </si>
  <si>
    <t>products</t>
  </si>
  <si>
    <t>Avg customer spending</t>
  </si>
  <si>
    <t>category</t>
  </si>
  <si>
    <t>Sum of Order_ID</t>
  </si>
  <si>
    <t>city</t>
  </si>
  <si>
    <t>Count of Order</t>
  </si>
  <si>
    <t>Occasions</t>
  </si>
  <si>
    <t>Avg. Delivery Day</t>
  </si>
  <si>
    <t>Avg. Customer Spent</t>
  </si>
  <si>
    <t>Fnp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</si>
</sst>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_ [$₹-4009]\ * #,##0.00_ ;_ [$₹-4009]\ * \-#,##0.00_ ;_ [$₹-4009]\ * &quot;-&quot;??_ ;_ @_ "/>
  </numFmts>
  <fonts count="4" x14ac:knownFonts="1">
    <font>
      <sz val="11"/>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8" tint="0.79998168889431442"/>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166" fontId="2" fillId="2" borderId="4" xfId="0" applyNumberFormat="1" applyFont="1" applyFill="1" applyBorder="1" applyAlignment="1">
      <alignment horizontal="center" vertical="center"/>
    </xf>
    <xf numFmtId="166" fontId="2" fillId="2" borderId="5" xfId="0" applyNumberFormat="1"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166" fontId="2" fillId="2" borderId="1" xfId="0" applyNumberFormat="1" applyFont="1" applyFill="1" applyBorder="1" applyAlignment="1">
      <alignment horizontal="center" vertical="center"/>
    </xf>
    <xf numFmtId="166" fontId="2" fillId="2" borderId="7" xfId="0" applyNumberFormat="1"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66" fontId="2" fillId="2" borderId="3" xfId="0" applyNumberFormat="1" applyFont="1" applyFill="1" applyBorder="1" applyAlignment="1">
      <alignment horizontal="center" vertical="center"/>
    </xf>
    <xf numFmtId="0" fontId="2" fillId="2" borderId="1" xfId="0" applyFont="1" applyFill="1" applyBorder="1" applyAlignment="1">
      <alignment horizontal="center" vertical="center"/>
    </xf>
    <xf numFmtId="166" fontId="2" fillId="2" borderId="6" xfId="0" applyNumberFormat="1" applyFont="1" applyFill="1" applyBorder="1" applyAlignment="1">
      <alignment horizontal="center" vertical="center"/>
    </xf>
    <xf numFmtId="0" fontId="0" fillId="4" borderId="11" xfId="0" applyFill="1" applyBorder="1" applyAlignment="1"/>
    <xf numFmtId="0" fontId="0" fillId="4" borderId="0" xfId="0" applyFill="1" applyBorder="1" applyAlignment="1"/>
    <xf numFmtId="0" fontId="0" fillId="4" borderId="0" xfId="0" applyFill="1" applyBorder="1"/>
    <xf numFmtId="0" fontId="0" fillId="4" borderId="12" xfId="0" applyFill="1" applyBorder="1"/>
    <xf numFmtId="0" fontId="0" fillId="4" borderId="0" xfId="0" applyFill="1" applyBorder="1" applyAlignment="1">
      <alignment horizontal="center"/>
    </xf>
    <xf numFmtId="0" fontId="0" fillId="4" borderId="11" xfId="0" applyFill="1" applyBorder="1"/>
    <xf numFmtId="0" fontId="0" fillId="4" borderId="13" xfId="0" applyFill="1" applyBorder="1"/>
    <xf numFmtId="0" fontId="0" fillId="4" borderId="14" xfId="0" applyFill="1" applyBorder="1"/>
    <xf numFmtId="0" fontId="0" fillId="4" borderId="15" xfId="0" applyFill="1" applyBorder="1"/>
    <xf numFmtId="0" fontId="3"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3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Which Ocassion earns more?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Sheet1!$V$1</c:f>
              <c:strCache>
                <c:ptCount val="1"/>
                <c:pt idx="0">
                  <c:v>Total</c:v>
                </c:pt>
              </c:strCache>
            </c:strRef>
          </c:tx>
          <c:spPr>
            <a:solidFill>
              <a:schemeClr val="accent1"/>
            </a:solidFill>
            <a:ln>
              <a:noFill/>
            </a:ln>
            <a:effectLst/>
          </c:spPr>
          <c:invertIfNegative val="0"/>
          <c:cat>
            <c:strRef>
              <c:f>Sheet1!$U$2:$U$9</c:f>
              <c:strCache>
                <c:ptCount val="7"/>
                <c:pt idx="0">
                  <c:v>All Occasions</c:v>
                </c:pt>
                <c:pt idx="1">
                  <c:v>Anniversary</c:v>
                </c:pt>
                <c:pt idx="2">
                  <c:v>Birthday</c:v>
                </c:pt>
                <c:pt idx="3">
                  <c:v>Diwali</c:v>
                </c:pt>
                <c:pt idx="4">
                  <c:v>Holi</c:v>
                </c:pt>
                <c:pt idx="5">
                  <c:v>Raksha Bandhan</c:v>
                </c:pt>
                <c:pt idx="6">
                  <c:v>Valentine's Day</c:v>
                </c:pt>
              </c:strCache>
            </c:strRef>
          </c:cat>
          <c:val>
            <c:numRef>
              <c:f>Sheet1!$V$2:$V$9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40F2-46FD-99AD-7B809E27154E}"/>
            </c:ext>
          </c:extLst>
        </c:ser>
        <c:dLbls>
          <c:showLegendKey val="0"/>
          <c:showVal val="0"/>
          <c:showCatName val="0"/>
          <c:showSerName val="0"/>
          <c:showPercent val="0"/>
          <c:showBubbleSize val="0"/>
        </c:dLbls>
        <c:gapWidth val="219"/>
        <c:overlap val="-27"/>
        <c:axId val="208915904"/>
        <c:axId val="208920896"/>
      </c:barChart>
      <c:catAx>
        <c:axId val="20891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920896"/>
        <c:crosses val="autoZero"/>
        <c:auto val="1"/>
        <c:lblAlgn val="ctr"/>
        <c:lblOffset val="100"/>
        <c:noMultiLvlLbl val="0"/>
      </c:catAx>
      <c:valAx>
        <c:axId val="208920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915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3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Which Category earns more?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c:f>
              <c:strCache>
                <c:ptCount val="1"/>
                <c:pt idx="0">
                  <c:v>Total</c:v>
                </c:pt>
              </c:strCache>
            </c:strRef>
          </c:tx>
          <c:spPr>
            <a:solidFill>
              <a:schemeClr val="accent1"/>
            </a:solidFill>
            <a:ln>
              <a:noFill/>
            </a:ln>
            <a:effectLst/>
          </c:spPr>
          <c:invertIfNegative val="0"/>
          <c:cat>
            <c:strRef>
              <c:f>Sheet1!$M$2:$M$9</c:f>
              <c:strCache>
                <c:ptCount val="7"/>
                <c:pt idx="0">
                  <c:v>Cake</c:v>
                </c:pt>
                <c:pt idx="1">
                  <c:v>Colors</c:v>
                </c:pt>
                <c:pt idx="2">
                  <c:v>Mugs</c:v>
                </c:pt>
                <c:pt idx="3">
                  <c:v>Plants</c:v>
                </c:pt>
                <c:pt idx="4">
                  <c:v>Raksha Bandhan</c:v>
                </c:pt>
                <c:pt idx="5">
                  <c:v>Soft Toys</c:v>
                </c:pt>
                <c:pt idx="6">
                  <c:v>Sweets</c:v>
                </c:pt>
              </c:strCache>
            </c:strRef>
          </c:cat>
          <c:val>
            <c:numRef>
              <c:f>Sheet1!$N$2:$N$9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DA5F-400A-8A65-B7A418EE49A8}"/>
            </c:ext>
          </c:extLst>
        </c:ser>
        <c:dLbls>
          <c:showLegendKey val="0"/>
          <c:showVal val="0"/>
          <c:showCatName val="0"/>
          <c:showSerName val="0"/>
          <c:showPercent val="0"/>
          <c:showBubbleSize val="0"/>
        </c:dLbls>
        <c:gapWidth val="219"/>
        <c:overlap val="-27"/>
        <c:axId val="319952688"/>
        <c:axId val="319957264"/>
      </c:barChart>
      <c:catAx>
        <c:axId val="31995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957264"/>
        <c:crosses val="autoZero"/>
        <c:auto val="1"/>
        <c:lblAlgn val="ctr"/>
        <c:lblOffset val="100"/>
        <c:noMultiLvlLbl val="0"/>
      </c:catAx>
      <c:valAx>
        <c:axId val="319957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1995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[Dashboard.xlsx]Sheet1!PivotTable12</c:name>
    <c:fmtId val="3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Products Bought on which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Sheet1!$Y$12</c:f>
              <c:strCache>
                <c:ptCount val="1"/>
                <c:pt idx="0">
                  <c:v>Total</c:v>
                </c:pt>
              </c:strCache>
            </c:strRef>
          </c:tx>
          <c:spPr>
            <a:ln w="28575" cap="rnd">
              <a:solidFill>
                <a:schemeClr val="accent1"/>
              </a:solidFill>
              <a:round/>
            </a:ln>
            <a:effectLst/>
          </c:spPr>
          <c:marker>
            <c:symbol val="none"/>
          </c:marker>
          <c:cat>
            <c:strRef>
              <c:f>Sheet1!$X$13:$X$37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Sheet1!$Y$13:$Y$37</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47E7-403F-A82F-3A9E227D840D}"/>
            </c:ext>
          </c:extLst>
        </c:ser>
        <c:dLbls>
          <c:showLegendKey val="0"/>
          <c:showVal val="0"/>
          <c:showCatName val="0"/>
          <c:showSerName val="0"/>
          <c:showPercent val="0"/>
          <c:showBubbleSize val="0"/>
        </c:dLbls>
        <c:smooth val="0"/>
        <c:axId val="208922976"/>
        <c:axId val="208918816"/>
      </c:lineChart>
      <c:catAx>
        <c:axId val="2089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918816"/>
        <c:crosses val="autoZero"/>
        <c:auto val="1"/>
        <c:lblAlgn val="ctr"/>
        <c:lblOffset val="100"/>
        <c:tickLblSkip val="2"/>
        <c:tickMarkSkip val="1"/>
        <c:noMultiLvlLbl val="0"/>
      </c:catAx>
      <c:valAx>
        <c:axId val="208918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92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3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Sheet1!$F$2:$F$14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E095-4966-B1CE-13D1E06E3540}"/>
            </c:ext>
          </c:extLst>
        </c:ser>
        <c:dLbls>
          <c:showLegendKey val="0"/>
          <c:showVal val="0"/>
          <c:showCatName val="0"/>
          <c:showSerName val="0"/>
          <c:showPercent val="0"/>
          <c:showBubbleSize val="0"/>
        </c:dLbls>
        <c:marker val="1"/>
        <c:smooth val="0"/>
        <c:axId val="337422896"/>
        <c:axId val="337423312"/>
      </c:lineChart>
      <c:catAx>
        <c:axId val="33742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7423312"/>
        <c:crosses val="autoZero"/>
        <c:auto val="1"/>
        <c:lblAlgn val="ctr"/>
        <c:lblOffset val="100"/>
        <c:noMultiLvlLbl val="0"/>
      </c:catAx>
      <c:valAx>
        <c:axId val="337423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742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3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Sheet1!$H$2:$H$7</c:f>
              <c:strCache>
                <c:ptCount val="5"/>
                <c:pt idx="0">
                  <c:v>Deserunt Box</c:v>
                </c:pt>
                <c:pt idx="1">
                  <c:v>Dolores Gift</c:v>
                </c:pt>
                <c:pt idx="2">
                  <c:v>Harum Pack</c:v>
                </c:pt>
                <c:pt idx="3">
                  <c:v>Magnam Set</c:v>
                </c:pt>
                <c:pt idx="4">
                  <c:v>Quia Gift</c:v>
                </c:pt>
              </c:strCache>
            </c:strRef>
          </c:cat>
          <c:val>
            <c:numRef>
              <c:f>Sheet1!$I$2:$I$7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67E-4339-8D5B-2D1A833D1828}"/>
            </c:ext>
          </c:extLst>
        </c:ser>
        <c:dLbls>
          <c:showLegendKey val="0"/>
          <c:showVal val="0"/>
          <c:showCatName val="0"/>
          <c:showSerName val="0"/>
          <c:showPercent val="0"/>
          <c:showBubbleSize val="0"/>
        </c:dLbls>
        <c:gapWidth val="219"/>
        <c:overlap val="-27"/>
        <c:axId val="825170447"/>
        <c:axId val="825166287"/>
      </c:barChart>
      <c:catAx>
        <c:axId val="8251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5166287"/>
        <c:crosses val="autoZero"/>
        <c:auto val="1"/>
        <c:lblAlgn val="ctr"/>
        <c:lblOffset val="100"/>
        <c:noMultiLvlLbl val="0"/>
      </c:catAx>
      <c:valAx>
        <c:axId val="825166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517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3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Sheet1!$Q$1</c:f>
              <c:strCache>
                <c:ptCount val="1"/>
                <c:pt idx="0">
                  <c:v>Total</c:v>
                </c:pt>
              </c:strCache>
            </c:strRef>
          </c:tx>
          <c:spPr>
            <a:solidFill>
              <a:schemeClr val="accent1"/>
            </a:solidFill>
            <a:ln>
              <a:noFill/>
            </a:ln>
            <a:effectLst/>
          </c:spPr>
          <c:invertIfNegative val="0"/>
          <c:cat>
            <c:strRef>
              <c:f>Sheet1!$P$2:$P$12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Sheet1!$Q$2:$Q$12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8A3-4CE5-B97B-1E596F9CAD80}"/>
            </c:ext>
          </c:extLst>
        </c:ser>
        <c:dLbls>
          <c:showLegendKey val="0"/>
          <c:showVal val="0"/>
          <c:showCatName val="0"/>
          <c:showSerName val="0"/>
          <c:showPercent val="0"/>
          <c:showBubbleSize val="0"/>
        </c:dLbls>
        <c:gapWidth val="219"/>
        <c:overlap val="-27"/>
        <c:axId val="345937520"/>
        <c:axId val="345934608"/>
      </c:barChart>
      <c:catAx>
        <c:axId val="3459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5934608"/>
        <c:crosses val="autoZero"/>
        <c:auto val="1"/>
        <c:lblAlgn val="ctr"/>
        <c:lblOffset val="100"/>
        <c:noMultiLvlLbl val="0"/>
      </c:catAx>
      <c:valAx>
        <c:axId val="34593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593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9</xdr:col>
      <xdr:colOff>0</xdr:colOff>
      <xdr:row>22</xdr:row>
      <xdr:rowOff>0</xdr:rowOff>
    </xdr:to>
    <xdr:graphicFrame macro="">
      <xdr:nvGraphicFramePr>
        <xdr:cNvPr id="29" name="Chart 28">
          <a:extLst>
            <a:ext uri="{FF2B5EF4-FFF2-40B4-BE49-F238E27FC236}">
              <a16:creationId xmlns:a16="http://schemas.microsoft.com/office/drawing/2014/main" id="{D7EEAA3E-F47D-4186-972A-15E71F874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8</xdr:row>
      <xdr:rowOff>0</xdr:rowOff>
    </xdr:from>
    <xdr:to>
      <xdr:col>17</xdr:col>
      <xdr:colOff>0</xdr:colOff>
      <xdr:row>22</xdr:row>
      <xdr:rowOff>9525</xdr:rowOff>
    </xdr:to>
    <xdr:graphicFrame macro="">
      <xdr:nvGraphicFramePr>
        <xdr:cNvPr id="30" name="Chart 29">
          <a:extLst>
            <a:ext uri="{FF2B5EF4-FFF2-40B4-BE49-F238E27FC236}">
              <a16:creationId xmlns:a16="http://schemas.microsoft.com/office/drawing/2014/main" id="{5CC6C4F3-D340-4D30-A38F-867531E89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8</xdr:row>
      <xdr:rowOff>0</xdr:rowOff>
    </xdr:from>
    <xdr:to>
      <xdr:col>25</xdr:col>
      <xdr:colOff>0</xdr:colOff>
      <xdr:row>22</xdr:row>
      <xdr:rowOff>0</xdr:rowOff>
    </xdr:to>
    <xdr:graphicFrame macro="">
      <xdr:nvGraphicFramePr>
        <xdr:cNvPr id="31" name="Chart 30">
          <a:extLst>
            <a:ext uri="{FF2B5EF4-FFF2-40B4-BE49-F238E27FC236}">
              <a16:creationId xmlns:a16="http://schemas.microsoft.com/office/drawing/2014/main" id="{A27A8FC9-A52D-4D8E-8144-2CA394E34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23</xdr:row>
      <xdr:rowOff>0</xdr:rowOff>
    </xdr:from>
    <xdr:to>
      <xdr:col>9</xdr:col>
      <xdr:colOff>0</xdr:colOff>
      <xdr:row>36</xdr:row>
      <xdr:rowOff>9525</xdr:rowOff>
    </xdr:to>
    <xdr:graphicFrame macro="">
      <xdr:nvGraphicFramePr>
        <xdr:cNvPr id="32" name="Chart 31">
          <a:extLst>
            <a:ext uri="{FF2B5EF4-FFF2-40B4-BE49-F238E27FC236}">
              <a16:creationId xmlns:a16="http://schemas.microsoft.com/office/drawing/2014/main" id="{44495ADC-5F3D-4D6E-B49F-CFEDD3A4A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23</xdr:row>
      <xdr:rowOff>0</xdr:rowOff>
    </xdr:from>
    <xdr:to>
      <xdr:col>17</xdr:col>
      <xdr:colOff>0</xdr:colOff>
      <xdr:row>35</xdr:row>
      <xdr:rowOff>180975</xdr:rowOff>
    </xdr:to>
    <xdr:graphicFrame macro="">
      <xdr:nvGraphicFramePr>
        <xdr:cNvPr id="33" name="Chart 32">
          <a:extLst>
            <a:ext uri="{FF2B5EF4-FFF2-40B4-BE49-F238E27FC236}">
              <a16:creationId xmlns:a16="http://schemas.microsoft.com/office/drawing/2014/main" id="{69A96F34-F317-41D2-B2E9-3497740B5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23</xdr:row>
      <xdr:rowOff>0</xdr:rowOff>
    </xdr:from>
    <xdr:to>
      <xdr:col>25</xdr:col>
      <xdr:colOff>9525</xdr:colOff>
      <xdr:row>36</xdr:row>
      <xdr:rowOff>0</xdr:rowOff>
    </xdr:to>
    <xdr:graphicFrame macro="">
      <xdr:nvGraphicFramePr>
        <xdr:cNvPr id="34" name="Chart 33">
          <a:extLst>
            <a:ext uri="{FF2B5EF4-FFF2-40B4-BE49-F238E27FC236}">
              <a16:creationId xmlns:a16="http://schemas.microsoft.com/office/drawing/2014/main" id="{5589456C-D6BA-479E-A2EA-4F632F9D6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19050</xdr:colOff>
      <xdr:row>3</xdr:row>
      <xdr:rowOff>9525</xdr:rowOff>
    </xdr:from>
    <xdr:to>
      <xdr:col>28</xdr:col>
      <xdr:colOff>599850</xdr:colOff>
      <xdr:row>14</xdr:row>
      <xdr:rowOff>83551</xdr:rowOff>
    </xdr:to>
    <mc:AlternateContent xmlns:mc="http://schemas.openxmlformats.org/markup-compatibility/2006">
      <mc:Choice xmlns:a14="http://schemas.microsoft.com/office/drawing/2010/main" Requires="a14">
        <xdr:graphicFrame macro="">
          <xdr:nvGraphicFramePr>
            <xdr:cNvPr id="35" name="Occasion 1">
              <a:extLst>
                <a:ext uri="{FF2B5EF4-FFF2-40B4-BE49-F238E27FC236}">
                  <a16:creationId xmlns:a16="http://schemas.microsoft.com/office/drawing/2014/main" id="{875BCAF6-5F3C-4059-A1DD-BA4AADA79F8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868650" y="600075"/>
              <a:ext cx="1800000" cy="2169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609599</xdr:colOff>
      <xdr:row>16</xdr:row>
      <xdr:rowOff>180976</xdr:rowOff>
    </xdr:from>
    <xdr:to>
      <xdr:col>28</xdr:col>
      <xdr:colOff>581025</xdr:colOff>
      <xdr:row>24</xdr:row>
      <xdr:rowOff>9526</xdr:rowOff>
    </xdr:to>
    <mc:AlternateContent xmlns:mc="http://schemas.openxmlformats.org/markup-compatibility/2006">
      <mc:Choice xmlns:tsle="http://schemas.microsoft.com/office/drawing/2012/timeslicer" Requires="tsle">
        <xdr:graphicFrame macro="">
          <xdr:nvGraphicFramePr>
            <xdr:cNvPr id="36" name="Order_Date 1">
              <a:extLst>
                <a:ext uri="{FF2B5EF4-FFF2-40B4-BE49-F238E27FC236}">
                  <a16:creationId xmlns:a16="http://schemas.microsoft.com/office/drawing/2014/main" id="{D9328041-E11A-41E3-BF61-D5FF542C4BF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5849599" y="3248026"/>
              <a:ext cx="1800226" cy="1352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0</xdr:colOff>
      <xdr:row>26</xdr:row>
      <xdr:rowOff>1</xdr:rowOff>
    </xdr:from>
    <xdr:to>
      <xdr:col>29</xdr:col>
      <xdr:colOff>0</xdr:colOff>
      <xdr:row>37</xdr:row>
      <xdr:rowOff>0</xdr:rowOff>
    </xdr:to>
    <mc:AlternateContent xmlns:mc="http://schemas.openxmlformats.org/markup-compatibility/2006">
      <mc:Choice xmlns:a14="http://schemas.microsoft.com/office/drawing/2010/main" Requires="a14">
        <xdr:graphicFrame macro="">
          <xdr:nvGraphicFramePr>
            <xdr:cNvPr id="37" name="Category 1">
              <a:extLst>
                <a:ext uri="{FF2B5EF4-FFF2-40B4-BE49-F238E27FC236}">
                  <a16:creationId xmlns:a16="http://schemas.microsoft.com/office/drawing/2014/main" id="{D8C51C85-AEE7-4249-83DD-EA96F04DA1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849600" y="4972051"/>
              <a:ext cx="1828800" cy="2105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099.979779861111" backgroundQuery="1" createdVersion="7" refreshedVersion="7" minRefreshableVersion="3" recordCount="0" supportSubquery="1" supportAdvancedDrill="1" xr:uid="{677A883C-2A9C-4CDD-BB69-BE1C38B3F2C7}">
  <cacheSource type="external" connectionId="8"/>
  <cacheFields count="1">
    <cacheField name="[Measures].[Average of Revenue]" caption="Average of Revenue" numFmtId="0" hierarchy="4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099.987700925929" backgroundQuery="1" createdVersion="7" refreshedVersion="7" minRefreshableVersion="3" recordCount="0" supportSubquery="1" supportAdvancedDrill="1" xr:uid="{8164783B-02D6-4660-A026-055FEB20B7CF}">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products].[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194560182" backgroundQuery="1" createdVersion="7" refreshedVersion="7" minRefreshableVersion="3" recordCount="0" supportSubquery="1" supportAdvancedDrill="1" xr:uid="{D10F9DD6-733C-4139-893B-CC6857E751A8}">
  <cacheSource type="external" connectionId="8"/>
  <cacheFields count="4">
    <cacheField name="[Measures].[Sum of Revenue]" caption="Sum of Revenue" numFmtId="0" hierarchy="43" level="32767"/>
    <cacheField name="[products].[Category].[Category]" caption="Category" numFmtId="0" hierarchy="33" level="1">
      <sharedItems count="7">
        <s v="Cake"/>
        <s v="Colors"/>
        <s v="Mugs"/>
        <s v="Plants"/>
        <s v="Raksha Bandhan"/>
        <s v="Soft Toys"/>
        <s v="Sweets"/>
      </sharedItems>
    </cacheField>
    <cacheField name="[products].[Product_Name].[Product_Name]" caption="Product_Name" numFmtId="0" hierarchy="32" level="1">
      <sharedItems count="5">
        <s v="Deserunt Box"/>
        <s v="Dolores Gift"/>
        <s v="Harum Pack"/>
        <s v="Magnam Set"/>
        <s v="Quia Gift"/>
      </sharedItems>
    </cacheField>
    <cacheField name="[products].[Occasion].[Occasion]" caption="Occasion" numFmtId="0" hierarchy="35"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Dashboard-fnp].[Content]" caption="Content" attribute="1" defaultMemberUniqueName="[Excel-Dashboard-fnp].[Content].[All]" allUniqueName="[Excel-Dashboard-fnp].[Content].[All]" dimensionUniqueName="[Excel-Dashboard-fnp]" displayFolder="" count="2" memberValueDatatype="130" unbalanced="0"/>
    <cacheHierarchy uniqueName="[Excel-Dashboard-fnp].[Name]" caption="Name" attribute="1" defaultMemberUniqueName="[Excel-Dashboard-fnp].[Name].[All]" allUniqueName="[Excel-Dashboard-fnp].[Name].[All]" dimensionUniqueName="[Excel-Dashboard-fnp]" displayFolder="" count="2" memberValueDatatype="130" unbalanced="0"/>
    <cacheHierarchy uniqueName="[Excel-Dashboard-fnp].[Extension]" caption="Extension" attribute="1" defaultMemberUniqueName="[Excel-Dashboard-fnp].[Extension].[All]" allUniqueName="[Excel-Dashboard-fnp].[Extension].[All]" dimensionUniqueName="[Excel-Dashboard-fnp]" displayFolder="" count="2"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2"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2"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2" memberValueDatatype="7" unbalanced="0"/>
    <cacheHierarchy uniqueName="[Excel-Dashboard-fnp].[Folder Path]" caption="Folder Path" attribute="1" defaultMemberUniqueName="[Excel-Dashboard-fnp].[Folder Path].[All]" allUniqueName="[Excel-Dashboard-fnp].[Folder Path].[All]" dimensionUniqueName="[Excel-Dashboard-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s)]" caption="Month Name (orders)" attribute="1" defaultMemberUniqueName="[orders].[Month Name (orders)].[All]" allUniqueName="[orders].[Month Name (orders)].[All]" dimensionUniqueName="[orders]" displayFolder="" count="2" memberValueDatatype="130" unbalanced="0"/>
    <cacheHierarchy uniqueName="[orders].[Hour (orders)]" caption="Hour (orders)" attribute="1" defaultMemberUniqueName="[orders].[Hour (orders)].[All]" allUniqueName="[orders].[Hour (orders)].[All]" dimensionUniqueName="[orders]" displayFolder="" count="2" memberValueDatatype="20" unbalanced="0"/>
    <cacheHierarchy uniqueName="[orders].[diff-delivery-orders]" caption="diff-delivery-orders" attribute="1" defaultMemberUniqueName="[orders].[diff-delivery-orders].[All]" allUniqueName="[orders].[diff-delivery-orders].[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s (orders)]" caption="weekdays (orders)" attribute="1" defaultMemberUniqueName="[orders].[weekdays (orders)].[All]" allUniqueName="[orders].[weekdays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195023151" backgroundQuery="1" createdVersion="7" refreshedVersion="7" minRefreshableVersion="3" recordCount="0" supportSubquery="1" supportAdvancedDrill="1" xr:uid="{925F67D2-C69D-423F-B7A7-D07057062CA6}">
  <cacheSource type="external" connectionId="8"/>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3" level="32767"/>
    <cacheField name="[products].[Occasion].[Occasion]" caption="Occasion" numFmtId="0" hierarchy="35"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196064813" backgroundQuery="1" createdVersion="7" refreshedVersion="7" minRefreshableVersion="3" recordCount="0" supportSubquery="1" supportAdvancedDrill="1" xr:uid="{6308C468-D95B-4A99-B2EC-A93AEA18A12D}">
  <cacheSource type="external" connectionId="8"/>
  <cacheFields count="3">
    <cacheField name="[Measures].[Count of Order_ID]" caption="Count of Order_ID" numFmtId="0" hierarchy="48" level="32767"/>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7523146" backgroundQuery="1" createdVersion="7" refreshedVersion="7" minRefreshableVersion="3" recordCount="0" supportSubquery="1" supportAdvancedDrill="1" xr:uid="{B1F6470E-E581-41CE-B78F-B366F0B9F1AC}">
  <cacheSource type="external" connectionId="8"/>
  <cacheFields count="2">
    <cacheField name="[orders].[Month Name (orders)].[Month Name (orders)]" caption="Month Name (orders)"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Dashboard-fnp].[Content]" caption="Content" attribute="1" defaultMemberUniqueName="[Excel-Dashboard-fnp].[Content].[All]" allUniqueName="[Excel-Dashboard-fnp].[Content].[All]" dimensionUniqueName="[Excel-Dashboard-fnp]" displayFolder="" count="2" memberValueDatatype="130" unbalanced="0"/>
    <cacheHierarchy uniqueName="[Excel-Dashboard-fnp].[Name]" caption="Name" attribute="1" defaultMemberUniqueName="[Excel-Dashboard-fnp].[Name].[All]" allUniqueName="[Excel-Dashboard-fnp].[Name].[All]" dimensionUniqueName="[Excel-Dashboard-fnp]" displayFolder="" count="2" memberValueDatatype="130" unbalanced="0"/>
    <cacheHierarchy uniqueName="[Excel-Dashboard-fnp].[Extension]" caption="Extension" attribute="1" defaultMemberUniqueName="[Excel-Dashboard-fnp].[Extension].[All]" allUniqueName="[Excel-Dashboard-fnp].[Extension].[All]" dimensionUniqueName="[Excel-Dashboard-fnp]" displayFolder="" count="2"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2"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2"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2" memberValueDatatype="7" unbalanced="0"/>
    <cacheHierarchy uniqueName="[Excel-Dashboard-fnp].[Folder Path]" caption="Folder Path" attribute="1" defaultMemberUniqueName="[Excel-Dashboard-fnp].[Folder Path].[All]" allUniqueName="[Excel-Dashboard-fnp].[Folder Path].[All]" dimensionUniqueName="[Excel-Dashboard-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s)]" caption="Month Name (orders)" attribute="1" defaultMemberUniqueName="[orders].[Month Name (orders)].[All]" allUniqueName="[orders].[Month Name (orders)].[All]" dimensionUniqueName="[orders]" displayFolder="" count="2" memberValueDatatype="130" unbalanced="0">
      <fieldsUsage count="2">
        <fieldUsage x="-1"/>
        <fieldUsage x="0"/>
      </fieldsUsage>
    </cacheHierarchy>
    <cacheHierarchy uniqueName="[orders].[Hour (orders)]" caption="Hour (orders)" attribute="1" defaultMemberUniqueName="[orders].[Hour (orders)].[All]" allUniqueName="[orders].[Hour (orders)].[All]" dimensionUniqueName="[orders]" displayFolder="" count="2" memberValueDatatype="20" unbalanced="0"/>
    <cacheHierarchy uniqueName="[orders].[diff-delivery-orders]" caption="diff-delivery-orders" attribute="1" defaultMemberUniqueName="[orders].[diff-delivery-orders].[All]" allUniqueName="[orders].[diff-delivery-orders].[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s (orders)]" caption="weekdays (orders)" attribute="1" defaultMemberUniqueName="[orders].[weekdays (orders)].[All]" allUniqueName="[orders].[weekdays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7986108" backgroundQuery="1" createdVersion="7" refreshedVersion="7" minRefreshableVersion="3" recordCount="0" supportSubquery="1" supportAdvancedDrill="1" xr:uid="{021079CD-DC3D-4DFE-82F0-EC6FE852EE53}">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Order_ID]" caption="Sum of Order_ID" numFmtId="0" hierarchy="47" level="32767"/>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Dashboard-fnp].[Content]" caption="Content" attribute="1" defaultMemberUniqueName="[Excel-Dashboard-fnp].[Content].[All]" allUniqueName="[Excel-Dashboard-fnp].[Content].[All]" dimensionUniqueName="[Excel-Dashboard-fnp]" displayFolder="" count="2" memberValueDatatype="130" unbalanced="0"/>
    <cacheHierarchy uniqueName="[Excel-Dashboard-fnp].[Name]" caption="Name" attribute="1" defaultMemberUniqueName="[Excel-Dashboard-fnp].[Name].[All]" allUniqueName="[Excel-Dashboard-fnp].[Name].[All]" dimensionUniqueName="[Excel-Dashboard-fnp]" displayFolder="" count="2" memberValueDatatype="130" unbalanced="0"/>
    <cacheHierarchy uniqueName="[Excel-Dashboard-fnp].[Extension]" caption="Extension" attribute="1" defaultMemberUniqueName="[Excel-Dashboard-fnp].[Extension].[All]" allUniqueName="[Excel-Dashboard-fnp].[Extension].[All]" dimensionUniqueName="[Excel-Dashboard-fnp]" displayFolder="" count="2"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2"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2"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2" memberValueDatatype="7" unbalanced="0"/>
    <cacheHierarchy uniqueName="[Excel-Dashboard-fnp].[Folder Path]" caption="Folder Path" attribute="1" defaultMemberUniqueName="[Excel-Dashboard-fnp].[Folder Path].[All]" allUniqueName="[Excel-Dashboard-fnp].[Folder Path].[All]" dimensionUniqueName="[Excel-Dashboard-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s)]" caption="Month Name (orders)" attribute="1" defaultMemberUniqueName="[orders].[Month Name (orders)].[All]" allUniqueName="[orders].[Month Name (orders)].[All]" dimensionUniqueName="[orders]" displayFolder="" count="2" memberValueDatatype="130" unbalanced="0"/>
    <cacheHierarchy uniqueName="[orders].[Hour (orders)]" caption="Hour (orders)" attribute="1" defaultMemberUniqueName="[orders].[Hour (orders)].[All]" allUniqueName="[orders].[Hour (orders)].[All]" dimensionUniqueName="[orders]" displayFolder="" count="2" memberValueDatatype="20" unbalanced="0"/>
    <cacheHierarchy uniqueName="[orders].[diff-delivery-orders]" caption="diff-delivery-orders" attribute="1" defaultMemberUniqueName="[orders].[diff-delivery-orders].[All]" allUniqueName="[orders].[diff-delivery-orders].[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s (orders)]" caption="weekdays (orders)" attribute="1" defaultMemberUniqueName="[orders].[weekdays (orders)].[All]" allUniqueName="[orders].[weekdays (orders)].[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8333332" backgroundQuery="1" createdVersion="7" refreshedVersion="7" minRefreshableVersion="3" recordCount="0" supportSubquery="1" supportAdvancedDrill="1" xr:uid="{08142C30-3252-4DC6-9D57-6F3A695B4477}">
  <cacheSource type="external" connectionId="8"/>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weekdays (orders)].[weekdays (orders)]" caption="weekdays (orders)" numFmtId="0" hierarchy="30" level="1">
      <sharedItems count="7">
        <s v="Friday"/>
        <s v="Monday"/>
        <s v="Saturday"/>
        <s v="Sunday"/>
        <s v="Thursday"/>
        <s v="Tuesday"/>
        <s v="Wednes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8680555" backgroundQuery="1" createdVersion="7" refreshedVersion="7" minRefreshableVersion="3" recordCount="0" supportSubquery="1" supportAdvancedDrill="1" xr:uid="{B63FBC05-825A-4DFB-A961-A214D8084504}">
  <cacheSource type="external" connectionId="8"/>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weekdays (orders)].[weekdays (orders)]" caption="weekdays (orders)" numFmtId="0" hierarchy="30" level="1">
      <sharedItems count="7">
        <s v="Friday"/>
        <s v="Monday"/>
        <s v="Saturday"/>
        <s v="Sunday"/>
        <s v="Thursday"/>
        <s v="Tuesday"/>
        <s v="Wednesday"/>
      </sharedItems>
    </cacheField>
    <cacheField name="[orders].[Hour (orders)].[Hour (orders)]" caption="Hour (orders)"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s)].&amp;[0]"/>
            <x15:cachedUniqueName index="1" name="[orders].[Hour (orders)].&amp;[1]"/>
            <x15:cachedUniqueName index="2" name="[orders].[Hour (orders)].&amp;[2]"/>
            <x15:cachedUniqueName index="3" name="[orders].[Hour (orders)].&amp;[3]"/>
            <x15:cachedUniqueName index="4" name="[orders].[Hour (orders)].&amp;[4]"/>
            <x15:cachedUniqueName index="5" name="[orders].[Hour (orders)].&amp;[5]"/>
            <x15:cachedUniqueName index="6" name="[orders].[Hour (orders)].&amp;[6]"/>
            <x15:cachedUniqueName index="7" name="[orders].[Hour (orders)].&amp;[7]"/>
            <x15:cachedUniqueName index="8" name="[orders].[Hour (orders)].&amp;[8]"/>
            <x15:cachedUniqueName index="9" name="[orders].[Hour (orders)].&amp;[9]"/>
            <x15:cachedUniqueName index="10" name="[orders].[Hour (orders)].&amp;[10]"/>
            <x15:cachedUniqueName index="11" name="[orders].[Hour (orders)].&amp;[11]"/>
            <x15:cachedUniqueName index="12" name="[orders].[Hour (orders)].&amp;[12]"/>
            <x15:cachedUniqueName index="13" name="[orders].[Hour (orders)].&amp;[13]"/>
            <x15:cachedUniqueName index="14" name="[orders].[Hour (orders)].&amp;[14]"/>
            <x15:cachedUniqueName index="15" name="[orders].[Hour (orders)].&amp;[15]"/>
            <x15:cachedUniqueName index="16" name="[orders].[Hour (orders)].&amp;[16]"/>
            <x15:cachedUniqueName index="17" name="[orders].[Hour (orders)].&amp;[17]"/>
            <x15:cachedUniqueName index="18" name="[orders].[Hour (orders)].&amp;[18]"/>
            <x15:cachedUniqueName index="19" name="[orders].[Hour (orders)].&amp;[19]"/>
            <x15:cachedUniqueName index="20" name="[orders].[Hour (orders)].&amp;[20]"/>
            <x15:cachedUniqueName index="21" name="[orders].[Hour (orders)].&amp;[21]"/>
            <x15:cachedUniqueName index="22" name="[orders].[Hour (orders)].&amp;[22]"/>
            <x15:cachedUniqueName index="23" name="[orders].[Hour (orders)].&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Dashboard-fnp].[Content]" caption="Content" attribute="1" defaultMemberUniqueName="[Excel-Dashboard-fnp].[Content].[All]" allUniqueName="[Excel-Dashboard-fnp].[Content].[All]" dimensionUniqueName="[Excel-Dashboard-fnp]" displayFolder="" count="2" memberValueDatatype="130" unbalanced="0"/>
    <cacheHierarchy uniqueName="[Excel-Dashboard-fnp].[Name]" caption="Name" attribute="1" defaultMemberUniqueName="[Excel-Dashboard-fnp].[Name].[All]" allUniqueName="[Excel-Dashboard-fnp].[Name].[All]" dimensionUniqueName="[Excel-Dashboard-fnp]" displayFolder="" count="2" memberValueDatatype="130" unbalanced="0"/>
    <cacheHierarchy uniqueName="[Excel-Dashboard-fnp].[Extension]" caption="Extension" attribute="1" defaultMemberUniqueName="[Excel-Dashboard-fnp].[Extension].[All]" allUniqueName="[Excel-Dashboard-fnp].[Extension].[All]" dimensionUniqueName="[Excel-Dashboard-fnp]" displayFolder="" count="2"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2"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2"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2" memberValueDatatype="7" unbalanced="0"/>
    <cacheHierarchy uniqueName="[Excel-Dashboard-fnp].[Folder Path]" caption="Folder Path" attribute="1" defaultMemberUniqueName="[Excel-Dashboard-fnp].[Folder Path].[All]" allUniqueName="[Excel-Dashboard-fnp].[Folder Path].[All]" dimensionUniqueName="[Excel-Dashboard-fnp]"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s)]" caption="Month Name (orders)" attribute="1" defaultMemberUniqueName="[orders].[Month Name (orders)].[All]" allUniqueName="[orders].[Month Name (orders)].[All]" dimensionUniqueName="[orders]" displayFolder="" count="2" memberValueDatatype="130" unbalanced="0"/>
    <cacheHierarchy uniqueName="[orders].[Hour (orders)]" caption="Hour (orders)" attribute="1" defaultMemberUniqueName="[orders].[Hour (orders)].[All]" allUniqueName="[orders].[Hour (orders)].[All]" dimensionUniqueName="[orders]" displayFolder="" count="2" memberValueDatatype="20" unbalanced="0">
      <fieldsUsage count="2">
        <fieldUsage x="-1"/>
        <fieldUsage x="3"/>
      </fieldsUsage>
    </cacheHierarchy>
    <cacheHierarchy uniqueName="[orders].[diff-delivery-orders]" caption="diff-delivery-orders" attribute="1" defaultMemberUniqueName="[orders].[diff-delivery-orders].[All]" allUniqueName="[orders].[diff-delivery-orders].[All]" dimensionUniqueName="[orders]" displayFolder="" count="2" memberValueDatatype="20" unbalanced="0"/>
    <cacheHierarchy uniqueName="[orders].[Hour (delivery)]" caption="Hour (delivery)" attribute="1" defaultMemberUniqueName="[orders].[Hour (delivery)].[All]" allUniqueName="[orders].[Hou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weekdays (orders)]" caption="weekdays (orders)" attribute="1" defaultMemberUniqueName="[orders].[weekdays (orders)].[All]" allUniqueName="[orders].[weekdays (orders)].[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8912039" backgroundQuery="1" createdVersion="7" refreshedVersion="7" minRefreshableVersion="3" recordCount="0" supportSubquery="1" supportAdvancedDrill="1" xr:uid="{23E52EC1-B8FB-4367-8CFE-9FD24A6FB74D}">
  <cacheSource type="external" connectionId="8"/>
  <cacheFields count="1">
    <cacheField name="[Measures].[Sum of Revenue]" caption="Sum of Revenue" numFmtId="0" hierarchy="43"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81409027778" backgroundQuery="1" createdVersion="7" refreshedVersion="7" minRefreshableVersion="3" recordCount="0" supportSubquery="1" supportAdvancedDrill="1" xr:uid="{BD3FC92F-0676-4944-A96C-548FF653CEE1}">
  <cacheSource type="external" connectionId="8"/>
  <cacheFields count="1">
    <cacheField name="[Measures].[Average of diff-delivery-orders]" caption="Average of diff-delivery-orders" numFmtId="0" hierarchy="45"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Dashboard-fnp" uniqueName="[Excel-Dashboard-fnp]" caption="Excel-Dashboard-fnp"/>
    <dimension measure="1" name="Measures" uniqueName="[Measures]" caption="Measures"/>
    <dimension name="orders" uniqueName="[orders]" caption="orders"/>
    <dimension name="products" uniqueName="[products]" caption="products"/>
  </dimensions>
  <measureGroups count="4">
    <measureGroup name="Customers" caption="Customers"/>
    <measureGroup name="Excel-Dashboard-fnp" caption="Excel-Dashboard-fnp"/>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099.989231134263" backgroundQuery="1" createdVersion="3" refreshedVersion="7" minRefreshableVersion="3" recordCount="0" supportSubquery="1" supportAdvancedDrill="1" xr:uid="{110DC069-B165-4889-9220-C9E181A62A95}">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4884405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lwa" refreshedDate="46100.058799768522" backgroundQuery="1" createdVersion="3" refreshedVersion="7" minRefreshableVersion="3" recordCount="0" supportSubquery="1" supportAdvancedDrill="1" xr:uid="{0CD1F6D4-10CD-4587-AEDE-836B7D5BE61B}">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Dashboard-fnp].[Content]" caption="Content" attribute="1" defaultMemberUniqueName="[Excel-Dashboard-fnp].[Content].[All]" allUniqueName="[Excel-Dashboard-fnp].[Content].[All]" dimensionUniqueName="[Excel-Dashboard-fnp]" displayFolder="" count="0" memberValueDatatype="130" unbalanced="0"/>
    <cacheHierarchy uniqueName="[Excel-Dashboard-fnp].[Name]" caption="Name" attribute="1" defaultMemberUniqueName="[Excel-Dashboard-fnp].[Name].[All]" allUniqueName="[Excel-Dashboard-fnp].[Name].[All]" dimensionUniqueName="[Excel-Dashboard-fnp]" displayFolder="" count="0" memberValueDatatype="130" unbalanced="0"/>
    <cacheHierarchy uniqueName="[Excel-Dashboard-fnp].[Extension]" caption="Extension" attribute="1" defaultMemberUniqueName="[Excel-Dashboard-fnp].[Extension].[All]" allUniqueName="[Excel-Dashboard-fnp].[Extension].[All]" dimensionUniqueName="[Excel-Dashboard-fnp]" displayFolder="" count="0" memberValueDatatype="130" unbalanced="0"/>
    <cacheHierarchy uniqueName="[Excel-Dashboard-fnp].[Date accessed]" caption="Date accessed" attribute="1" time="1" defaultMemberUniqueName="[Excel-Dashboard-fnp].[Date accessed].[All]" allUniqueName="[Excel-Dashboard-fnp].[Date accessed].[All]" dimensionUniqueName="[Excel-Dashboard-fnp]" displayFolder="" count="0" memberValueDatatype="7" unbalanced="0"/>
    <cacheHierarchy uniqueName="[Excel-Dashboard-fnp].[Date modified]" caption="Date modified" attribute="1" time="1" defaultMemberUniqueName="[Excel-Dashboard-fnp].[Date modified].[All]" allUniqueName="[Excel-Dashboard-fnp].[Date modified].[All]" dimensionUniqueName="[Excel-Dashboard-fnp]" displayFolder="" count="0" memberValueDatatype="7" unbalanced="0"/>
    <cacheHierarchy uniqueName="[Excel-Dashboard-fnp].[Date created]" caption="Date created" attribute="1" time="1" defaultMemberUniqueName="[Excel-Dashboard-fnp].[Date created].[All]" allUniqueName="[Excel-Dashboard-fnp].[Date created].[All]" dimensionUniqueName="[Excel-Dashboard-fnp]" displayFolder="" count="0" memberValueDatatype="7" unbalanced="0"/>
    <cacheHierarchy uniqueName="[Excel-Dashboard-fnp].[Folder Path]" caption="Folder Path" attribute="1" defaultMemberUniqueName="[Excel-Dashboard-fnp].[Folder Path].[All]" allUniqueName="[Excel-Dashboard-fnp].[Folder Path].[All]" dimensionUniqueName="[Excel-Dashboard-fnp]"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s)]" caption="Month Name (orders)" attribute="1" defaultMemberUniqueName="[orders].[Month Name (orders)].[All]" allUniqueName="[orders].[Month Name (orders)].[All]" dimensionUniqueName="[orders]" displayFolder="" count="0" memberValueDatatype="130" unbalanced="0"/>
    <cacheHierarchy uniqueName="[orders].[Hour (orders)]" caption="Hour (orders)" attribute="1" defaultMemberUniqueName="[orders].[Hour (orders)].[All]" allUniqueName="[orders].[Hour (orders)].[All]" dimensionUniqueName="[orders]" displayFolder="" count="0" memberValueDatatype="20" unbalanced="0"/>
    <cacheHierarchy uniqueName="[orders].[diff-delivery-orders]" caption="diff-delivery-orders" attribute="1" defaultMemberUniqueName="[orders].[diff-delivery-orders].[All]" allUniqueName="[orders].[diff-delivery-orders].[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weekdays (orders)]" caption="weekdays (orders)" attribute="1" defaultMemberUniqueName="[orders].[weekdays (orders)].[All]" allUniqueName="[orders].[weekdays (order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Dashboard-fnp]" caption="__XL_Count Excel-Dashboard-fnp" measure="1" displayFolder="" measureGroup="Excel-Dashboard-fnp"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2]" caption="Sum of products.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delivery-orders]" caption="Sum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diff-delivery-orders]" caption="Average of diff-delivery-orders"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4335731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E7AAA-9CDA-491B-9010-CD3DB72D37F4}" name="PivotTable12" cacheId="1156" applyNumberFormats="0" applyBorderFormats="0" applyFontFormats="0" applyPatternFormats="0" applyAlignmentFormats="0" applyWidthHeightFormats="1" dataCaption="Values" tag="c10e0556-433a-4548-8b1a-46926658612d" updatedVersion="7" minRefreshableVersion="5" useAutoFormatting="1" itemPrintTitles="1" createdVersion="7" indent="0" outline="1" outlineData="1" multipleFieldFilters="0" chartFormat="37" rowHeaderCaption="Occasions">
  <location ref="X12:Y3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Revenue" fld="1" baseField="0" baseItem="0"/>
  </dataField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6"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caption="Count of Order"/>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18186-1F22-4ACF-9BFA-225CBA3E736E}" name="PivotTable11" cacheId="1153" applyNumberFormats="0" applyBorderFormats="0" applyFontFormats="0" applyPatternFormats="0" applyAlignmentFormats="0" applyWidthHeightFormats="1" dataCaption="Values" tag="3d2b7744-5cff-4ca8-83a9-bd97fb9b26e8" updatedVersion="7" minRefreshableVersion="5" useAutoFormatting="1" itemPrintTitles="1" createdVersion="7" indent="0" outline="1" outlineData="1" multipleFieldFilters="0" chartFormat="5" rowHeaderCaption="Occasions">
  <location ref="U12:V20"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name="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caption="Count of Order"/>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1948BA-ED17-42BA-999D-FEB079C57B4A}" name="PivotTable10" cacheId="1150" applyNumberFormats="0" applyBorderFormats="0" applyFontFormats="0" applyPatternFormats="0" applyAlignmentFormats="0" applyWidthHeightFormats="1" dataCaption="Values" tag="448d1306-6624-4347-be56-db3ede6254a1" updatedVersion="7" minRefreshableVersion="5" useAutoFormatting="1" itemPrintTitles="1" createdVersion="7" indent="0" outline="1" outlineData="1" multipleFieldFilters="0" rowHeaderCaption="Occasions">
  <location ref="X1:Y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Order_ID" fld="2"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caption="Count of Order"/>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23C2C-427F-45E5-A0D7-8FA7A5154A4B}" name="PivotTable9" cacheId="212" applyNumberFormats="0" applyBorderFormats="0" applyFontFormats="0" applyPatternFormats="0" applyAlignmentFormats="0" applyWidthHeightFormats="1" dataCaption="Values" tag="4a6e0264-754d-4f30-b001-f74b86198d1f" updatedVersion="7" minRefreshableVersion="3" useAutoFormatting="1" itemPrintTitles="1" createdVersion="7" indent="0" outline="1" outlineData="1" multipleFieldFilters="0" chartFormat="34" rowHeaderCaption="Occasions">
  <location ref="U1:V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Revenue" fld="1" baseField="2" baseItem="0"/>
  </dataFields>
  <chartFormats count="1">
    <chartFormat chart="33"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caption="Count of Order"/>
  </pivotHierarchies>
  <pivotTableStyleInfo name="PivotStyleLight16" showRowHeaders="1" showColHeaders="1" showRowStripes="0" showColStripes="0" showLastColumn="1"/>
  <filters count="1">
    <filter fld="0" type="count" id="2" iMeasureHier="48">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CB55FC-83B5-451E-9D6D-5CDAD9ECFBFF}" name="PivotTable8" cacheId="1072" applyNumberFormats="0" applyBorderFormats="0" applyFontFormats="0" applyPatternFormats="0" applyAlignmentFormats="0" applyWidthHeightFormats="1" dataCaption="Values" tag="dfd32e04-ee49-4a50-9c00-ce8a798a64b2" updatedVersion="7" minRefreshableVersion="3" useAutoFormatting="1" itemPrintTitles="1" createdVersion="7" indent="0" outline="1" outlineData="1" multipleFieldFilters="0" chartFormat="35" rowHeaderCaption="city">
  <location ref="P1:Q12"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 fld="0" subtotal="count" baseField="1" baseItem="0"/>
  </dataFields>
  <chartFormats count="1">
    <chartFormat chart="34"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caption="Count of Order"/>
  </pivotHierarchies>
  <pivotTableStyleInfo name="PivotStyleLight16" showRowHeaders="1" showColHeaders="1" showRowStripes="0" showColStripes="0" showLastColumn="1"/>
  <filters count="1">
    <filter fld="1"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483E9C-4E87-44D3-A76C-4259FCEE5E4C}" name="PivotTable7" cacheId="1063" applyNumberFormats="0" applyBorderFormats="0" applyFontFormats="0" applyPatternFormats="0" applyAlignmentFormats="0" applyWidthHeightFormats="1" dataCaption="Values" tag="31354362-91e0-41b9-84ca-73c2cb26e65f" updatedVersion="7" minRefreshableVersion="3" useAutoFormatting="1" itemPrintTitles="1" createdVersion="7" indent="0" outline="1" outlineData="1" multipleFieldFilters="0" chartFormat="39" rowHeaderCaption="category">
  <location ref="M1:N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Revenue" fld="1" baseField="0" baseItem="0"/>
  </dataFields>
  <chartFormats count="1">
    <chartFormat chart="38"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caption="Average of Revenue"/>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AF6C0-7C9E-4913-B2A2-88F95456C0D5}" name="PivotTable6" cacheId="175" applyNumberFormats="0" applyBorderFormats="0" applyFontFormats="0" applyPatternFormats="0" applyAlignmentFormats="0" applyWidthHeightFormats="1" dataCaption="Values" tag="b743caa2-2d21-4e16-ac1d-698cb8887824" updatedVersion="7" minRefreshableVersion="3" useAutoFormatting="1" itemPrintTitles="1" createdVersion="7"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name="Avg customer spending"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delivery-orders"/>
    <pivotHierarchy dragToData="1" caption="Avg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F3E234-C8FC-470C-B530-67ED31CC220A}" name="PivotTable5" cacheId="1060" applyNumberFormats="0" applyBorderFormats="0" applyFontFormats="0" applyPatternFormats="0" applyAlignmentFormats="0" applyWidthHeightFormats="1" dataCaption="Values" tag="ebc980d5-7ae3-449a-8fbd-59e3902aa651" updatedVersion="7" minRefreshableVersion="3" useAutoFormatting="1" itemPrintTitles="1" createdVersion="7" indent="0" outline="1" outlineData="1" multipleFieldFilters="0" chartFormat="33" rowHeaderCaption="products">
  <location ref="H1:I7" firstHeaderRow="1" firstDataRow="1" firstDataCol="1"/>
  <pivotFields count="4">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Revenue" fld="0" baseField="2" baseItem="0"/>
  </dataFields>
  <chartFormats count="1">
    <chartFormat chart="32"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venue"/>
    <pivotHierarchy dragToData="1"/>
    <pivotHierarchy dragToData="1" caption="Average of diff-delivery-orders"/>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2B5496-793D-4EDE-A0E0-FAB7D20BE9AC}" name="PivotTable4" cacheId="1147" applyNumberFormats="0" applyBorderFormats="0" applyFontFormats="0" applyPatternFormats="0" applyAlignmentFormats="0" applyWidthHeightFormats="1" dataCaption="Values" tag="b20af5cf-7dd8-4d3f-aa93-d1061967aae3" updatedVersion="7" minRefreshableVersion="5" useAutoFormatting="1" itemPrintTitles="1" createdVersion="7" indent="0" outline="1" outlineData="1" multipleFieldFilters="0" chartFormat="39" rowHeaderCaption="Month">
  <location ref="E1:F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Monthy sales performance" fld="1" baseField="0" baseItem="1"/>
  </dataFields>
  <chartFormats count="1">
    <chartFormat chart="38"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nthy sales performance"/>
    <pivotHierarchy dragToData="1"/>
    <pivotHierarchy dragToData="1" caption="Average of diff-delivery-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C52694-985C-49A6-8879-B5D73CF2080D}" name="PivotTable3" cacheId="1162" applyNumberFormats="0" applyBorderFormats="0" applyFontFormats="0" applyPatternFormats="0" applyAlignmentFormats="0" applyWidthHeightFormats="1" dataCaption="Values" tag="3e81c7bd-0bb9-4ea0-b9cb-04b48b54f61f" updatedVersion="7" minRefreshableVersion="5" useAutoFormatting="1" itemPrintTitles="1" createdVersion="7"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rder and delivery tim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rder and delivery 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0211A0-4797-46B8-8109-48A62237F156}" name="PivotTable2" cacheId="1159" applyNumberFormats="0" applyBorderFormats="0" applyFontFormats="0" applyPatternFormats="0" applyAlignmentFormats="0" applyWidthHeightFormats="1" dataCaption="Values" tag="928652a8-fe13-44af-b14e-33541f516128" updatedVersion="7" minRefreshableVersion="5" useAutoFormatting="1" itemPrintTitles="1" createdVersion="7"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5C21FE0-BA38-4BAE-8290-60452F61C0C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09ACC83-BAB8-42EA-88EC-8474AF9A466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s)" tableColumnId="11"/>
      <queryTableField id="12" name="Hour (orders)" tableColumnId="12"/>
      <queryTableField id="13" name="diff-delivery-orders" tableColumnId="13"/>
      <queryTableField id="14" name="Hour (delivery)" tableColumnId="14"/>
      <queryTableField id="15" name="products.Price (INR)" tableColumnId="15"/>
      <queryTableField id="16" name="Revenue" tableColumnId="16"/>
      <queryTableField id="17" name="weekdays (orders)"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684F2AB3-F989-480A-9C5E-FDB3B302304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AB7EAEA-87E1-4B7B-B0B3-4F9C015E3A77}" sourceName="[products].[Occasion]">
  <pivotTables>
    <pivotTable tabId="1" name="PivotTable5"/>
    <pivotTable tabId="1" name="PivotTable7"/>
    <pivotTable tabId="1" name="PivotTable12"/>
    <pivotTable tabId="1" name="PivotTable4"/>
    <pivotTable tabId="1" name="PivotTable8"/>
  </pivotTables>
  <data>
    <olap pivotCacheId="1848844058">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8D87FB-7262-498E-A13F-49B2EC81E179}" sourceName="[products].[Category]">
  <pivotTables>
    <pivotTable tabId="1" name="PivotTable12"/>
    <pivotTable tabId="1" name="PivotTable5"/>
  </pivotTables>
  <data>
    <olap pivotCacheId="1848844058">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0312058-0A75-4B4B-A136-A5B2275DDDE2}" cache="Slicer_Occasion" caption="Occasion" level="1" rowHeight="241300"/>
  <slicer name="Category 1" xr10:uid="{B26EF0F1-4D74-416A-A17A-47D5AD975C50}"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09DBE6-CACA-41ED-92A0-9C4745BBBF36}" name="Customers" displayName="Customers" ref="A1:G101" tableType="queryTable" totalsRowShown="0">
  <autoFilter ref="A1:G101" xr:uid="{5509DBE6-CACA-41ED-92A0-9C4745BBBF36}"/>
  <tableColumns count="7">
    <tableColumn id="1" xr3:uid="{D3DAA8A1-8923-4EAC-931C-341243C88787}" uniqueName="1" name="Customer_ID" queryTableFieldId="1" dataDxfId="18"/>
    <tableColumn id="2" xr3:uid="{36AA5936-471A-4C9F-A087-9A4107737DFF}" uniqueName="2" name="Name" queryTableFieldId="2" dataDxfId="17"/>
    <tableColumn id="3" xr3:uid="{C561C303-681A-4FA3-A4D9-52AAB91A3F00}" uniqueName="3" name="City" queryTableFieldId="3" dataDxfId="16"/>
    <tableColumn id="4" xr3:uid="{3045343C-58CF-4FBF-9374-7875A49FB936}" uniqueName="4" name="Contact_Number" queryTableFieldId="4" dataDxfId="15"/>
    <tableColumn id="5" xr3:uid="{EC1125A1-056F-4B99-B278-5EDF4E5E89A7}" uniqueName="5" name="Email" queryTableFieldId="5" dataDxfId="14"/>
    <tableColumn id="6" xr3:uid="{12F25CD5-5EEE-4C31-9114-594A4BE31CBA}" uniqueName="6" name="Gender" queryTableFieldId="6" dataDxfId="13"/>
    <tableColumn id="7" xr3:uid="{92D32D4B-4B93-4D49-B7F4-BD70A485088F}"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E03930-0F63-440F-8DFE-0AEEC10E4170}" name="orders" displayName="orders" ref="A1:Q1001" tableType="queryTable" totalsRowShown="0">
  <autoFilter ref="A1:Q1001" xr:uid="{FBE03930-0F63-440F-8DFE-0AEEC10E4170}"/>
  <tableColumns count="17">
    <tableColumn id="1" xr3:uid="{D3E0B38E-4EDB-426D-A17F-D984AC4255EB}" uniqueName="1" name="Order_ID" queryTableFieldId="1"/>
    <tableColumn id="2" xr3:uid="{27A462FC-CC3D-4635-AA93-0C05FF4B9F42}" uniqueName="2" name="Customer_ID" queryTableFieldId="2" dataDxfId="11"/>
    <tableColumn id="3" xr3:uid="{F2FD8BEC-ED14-4609-8373-ACBB3754FD2E}" uniqueName="3" name="Product_ID" queryTableFieldId="3"/>
    <tableColumn id="4" xr3:uid="{F8301B4E-FADC-4BAE-9376-37582DB0A8D4}" uniqueName="4" name="Quantity" queryTableFieldId="4"/>
    <tableColumn id="5" xr3:uid="{2C2EBFDD-0E23-4704-90A5-518DF70D064F}" uniqueName="5" name="Order_Date" queryTableFieldId="5" dataDxfId="10"/>
    <tableColumn id="6" xr3:uid="{222EDF68-2EC6-441F-8FE6-3AA0B8F27060}" uniqueName="6" name="Order_Time" queryTableFieldId="6" dataDxfId="9"/>
    <tableColumn id="7" xr3:uid="{9F45BB16-94EC-45B3-94C5-B97BF0A0289C}" uniqueName="7" name="Delivery_Date" queryTableFieldId="7" dataDxfId="8"/>
    <tableColumn id="8" xr3:uid="{5A10723B-7271-4C75-B093-9B911D9E4017}" uniqueName="8" name="Delivery_Time" queryTableFieldId="8" dataDxfId="7"/>
    <tableColumn id="9" xr3:uid="{A6F82289-C1D1-43D1-8139-D388A037F283}" uniqueName="9" name="Location" queryTableFieldId="9" dataDxfId="6"/>
    <tableColumn id="10" xr3:uid="{1275A4F7-9F65-428D-8179-12C782D8866F}" uniqueName="10" name="Occasion" queryTableFieldId="10" dataDxfId="5"/>
    <tableColumn id="11" xr3:uid="{A2E1998D-EE65-458B-9A5D-DA7752E5CE86}" uniqueName="11" name="Month Name (orders)" queryTableFieldId="11" dataDxfId="4"/>
    <tableColumn id="12" xr3:uid="{7DAEB90F-2F71-42B7-8CE4-330F884730C2}" uniqueName="12" name="Hour (orders)" queryTableFieldId="12"/>
    <tableColumn id="13" xr3:uid="{C6F37848-962B-429E-B7D2-04690C3E39DE}" uniqueName="13" name="diff-delivery-orders" queryTableFieldId="13"/>
    <tableColumn id="14" xr3:uid="{CC480C9B-0926-4154-A65A-A96AC3BAF4AE}" uniqueName="14" name="Hour (delivery)" queryTableFieldId="14"/>
    <tableColumn id="15" xr3:uid="{1884B206-9091-4AD9-BBD4-464A8FBBEC9F}" uniqueName="15" name="products.Price (INR)" queryTableFieldId="15"/>
    <tableColumn id="16" xr3:uid="{65B390A2-19C8-4E47-9B2F-926D030A5F16}" uniqueName="16" name="Revenue" queryTableFieldId="16"/>
    <tableColumn id="17" xr3:uid="{5B4EF8C3-210D-488B-BA9F-BC7C9EBF6AE2}" uniqueName="17" name="weekdays (orders)"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7414E3-AA8A-4CEF-9A23-9916596F9D4A}" name="products" displayName="products" ref="A1:F71" tableType="queryTable" totalsRowShown="0">
  <autoFilter ref="A1:F71" xr:uid="{237414E3-AA8A-4CEF-9A23-9916596F9D4A}"/>
  <tableColumns count="6">
    <tableColumn id="1" xr3:uid="{7A8F8A67-877F-421F-A7A7-864F4BDC2FA0}" uniqueName="1" name="Product_ID" queryTableFieldId="1"/>
    <tableColumn id="2" xr3:uid="{7CCAE39F-C3A3-4AB5-88D6-2509D7D12D4E}" uniqueName="2" name="Product_Name" queryTableFieldId="2" dataDxfId="3"/>
    <tableColumn id="3" xr3:uid="{4A0B330A-270A-46D9-9379-FE50CF76D479}" uniqueName="3" name="Category" queryTableFieldId="3" dataDxfId="2"/>
    <tableColumn id="4" xr3:uid="{DA28594D-2E58-4D9A-BF56-800257FBD639}" uniqueName="4" name="Price (INR)" queryTableFieldId="4"/>
    <tableColumn id="5" xr3:uid="{A74BA5AD-0818-48C1-86B4-FA081F4ACCA4}" uniqueName="5" name="Occasion" queryTableFieldId="5" dataDxfId="1"/>
    <tableColumn id="6" xr3:uid="{06CF9FE8-BFEF-479C-99CE-353771C7285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6BDA7E4-C028-4395-A22C-4EA98EA09260}" sourceName="[orders].[Order_Date]">
  <pivotTables>
    <pivotTable tabId="1" name="PivotTable4"/>
    <pivotTable tabId="1" name="PivotTable10"/>
    <pivotTable tabId="1" name="PivotTable11"/>
    <pivotTable tabId="1" name="PivotTable12"/>
    <pivotTable tabId="1" name="PivotTable2"/>
    <pivotTable tabId="1" name="PivotTable3"/>
  </pivotTables>
  <state minimalRefreshVersion="6" lastRefreshVersion="6" pivotCacheId="433573130"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B7F96A07-DE49-4C8E-8704-67FD55FDF72E}"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7E39-3B3E-4B6E-B94B-78E3FA378342}">
  <dimension ref="A1:G101"/>
  <sheetViews>
    <sheetView topLeftCell="A2"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15E6-2461-44EF-B373-AFBA5BDD78CD}">
  <dimension ref="A1:Q1001"/>
  <sheetViews>
    <sheetView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2.85546875" bestFit="1" customWidth="1"/>
    <col min="12" max="12" width="15.140625" bestFit="1" customWidth="1"/>
    <col min="13" max="13" width="21.140625" bestFit="1" customWidth="1"/>
    <col min="14" max="14" width="16.85546875" bestFit="1" customWidth="1"/>
    <col min="15" max="15" width="21.28515625" bestFit="1" customWidth="1"/>
    <col min="16" max="16" width="11.140625" bestFit="1" customWidth="1"/>
    <col min="17" max="17" width="20" bestFit="1" customWidth="1"/>
  </cols>
  <sheetData>
    <row r="1" spans="1:17"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996</v>
      </c>
    </row>
    <row r="2" spans="1:17" x14ac:dyDescent="0.25">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t="s">
        <v>997</v>
      </c>
    </row>
    <row r="3" spans="1:17" x14ac:dyDescent="0.25">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t="s">
        <v>998</v>
      </c>
    </row>
    <row r="4" spans="1:17" x14ac:dyDescent="0.25">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t="s">
        <v>999</v>
      </c>
    </row>
    <row r="5" spans="1:17" x14ac:dyDescent="0.25">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t="s">
        <v>997</v>
      </c>
    </row>
    <row r="6" spans="1:17" x14ac:dyDescent="0.25">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t="s">
        <v>1000</v>
      </c>
    </row>
    <row r="7" spans="1:17" x14ac:dyDescent="0.25">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t="s">
        <v>997</v>
      </c>
    </row>
    <row r="8" spans="1:17" x14ac:dyDescent="0.25">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t="s">
        <v>997</v>
      </c>
    </row>
    <row r="9" spans="1:17" x14ac:dyDescent="0.25">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t="s">
        <v>1000</v>
      </c>
    </row>
    <row r="10" spans="1:17" x14ac:dyDescent="0.25">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t="s">
        <v>1000</v>
      </c>
    </row>
    <row r="11" spans="1:17" x14ac:dyDescent="0.25">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t="s">
        <v>997</v>
      </c>
    </row>
    <row r="12" spans="1:17" x14ac:dyDescent="0.25">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t="s">
        <v>997</v>
      </c>
    </row>
    <row r="13" spans="1:17" x14ac:dyDescent="0.25">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t="s">
        <v>997</v>
      </c>
    </row>
    <row r="14" spans="1:17" x14ac:dyDescent="0.25">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t="s">
        <v>1001</v>
      </c>
    </row>
    <row r="15" spans="1:17" x14ac:dyDescent="0.25">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t="s">
        <v>1001</v>
      </c>
    </row>
    <row r="16" spans="1:17" x14ac:dyDescent="0.25">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t="s">
        <v>1001</v>
      </c>
    </row>
    <row r="17" spans="1:17" x14ac:dyDescent="0.25">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t="s">
        <v>1002</v>
      </c>
    </row>
    <row r="18" spans="1:17" x14ac:dyDescent="0.25">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t="s">
        <v>998</v>
      </c>
    </row>
    <row r="19" spans="1:17" x14ac:dyDescent="0.25">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t="s">
        <v>997</v>
      </c>
    </row>
    <row r="20" spans="1:17" x14ac:dyDescent="0.25">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t="s">
        <v>997</v>
      </c>
    </row>
    <row r="21" spans="1:17" x14ac:dyDescent="0.25">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t="s">
        <v>998</v>
      </c>
    </row>
    <row r="22" spans="1:17" x14ac:dyDescent="0.25">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t="s">
        <v>997</v>
      </c>
    </row>
    <row r="23" spans="1:17" x14ac:dyDescent="0.25">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t="s">
        <v>1000</v>
      </c>
    </row>
    <row r="24" spans="1:17" x14ac:dyDescent="0.25">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t="s">
        <v>1000</v>
      </c>
    </row>
    <row r="25" spans="1:17" x14ac:dyDescent="0.25">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t="s">
        <v>997</v>
      </c>
    </row>
    <row r="26" spans="1:17" x14ac:dyDescent="0.25">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t="s">
        <v>1000</v>
      </c>
    </row>
    <row r="27" spans="1:17" x14ac:dyDescent="0.25">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t="s">
        <v>998</v>
      </c>
    </row>
    <row r="28" spans="1:17" x14ac:dyDescent="0.25">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t="s">
        <v>1000</v>
      </c>
    </row>
    <row r="29" spans="1:17" x14ac:dyDescent="0.25">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t="s">
        <v>1002</v>
      </c>
    </row>
    <row r="30" spans="1:17" x14ac:dyDescent="0.25">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t="s">
        <v>1003</v>
      </c>
    </row>
    <row r="31" spans="1:17" x14ac:dyDescent="0.25">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t="s">
        <v>999</v>
      </c>
    </row>
    <row r="32" spans="1:17" x14ac:dyDescent="0.25">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t="s">
        <v>1002</v>
      </c>
    </row>
    <row r="33" spans="1:17" x14ac:dyDescent="0.25">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t="s">
        <v>999</v>
      </c>
    </row>
    <row r="34" spans="1:17" x14ac:dyDescent="0.25">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t="s">
        <v>997</v>
      </c>
    </row>
    <row r="35" spans="1:17" x14ac:dyDescent="0.25">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t="s">
        <v>997</v>
      </c>
    </row>
    <row r="36" spans="1:17" x14ac:dyDescent="0.25">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t="s">
        <v>997</v>
      </c>
    </row>
    <row r="37" spans="1:17" x14ac:dyDescent="0.25">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t="s">
        <v>997</v>
      </c>
    </row>
    <row r="38" spans="1:17" x14ac:dyDescent="0.25">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t="s">
        <v>1001</v>
      </c>
    </row>
    <row r="39" spans="1:17" x14ac:dyDescent="0.25">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t="s">
        <v>998</v>
      </c>
    </row>
    <row r="40" spans="1:17" x14ac:dyDescent="0.25">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t="s">
        <v>998</v>
      </c>
    </row>
    <row r="41" spans="1:17" x14ac:dyDescent="0.25">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t="s">
        <v>999</v>
      </c>
    </row>
    <row r="42" spans="1:17" x14ac:dyDescent="0.25">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t="s">
        <v>1000</v>
      </c>
    </row>
    <row r="43" spans="1:17" x14ac:dyDescent="0.25">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t="s">
        <v>997</v>
      </c>
    </row>
    <row r="44" spans="1:17" x14ac:dyDescent="0.25">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t="s">
        <v>1001</v>
      </c>
    </row>
    <row r="45" spans="1:17" x14ac:dyDescent="0.25">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t="s">
        <v>998</v>
      </c>
    </row>
    <row r="46" spans="1:17" x14ac:dyDescent="0.25">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t="s">
        <v>997</v>
      </c>
    </row>
    <row r="47" spans="1:17" x14ac:dyDescent="0.25">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t="s">
        <v>1000</v>
      </c>
    </row>
    <row r="48" spans="1:17" x14ac:dyDescent="0.25">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t="s">
        <v>1001</v>
      </c>
    </row>
    <row r="49" spans="1:17" x14ac:dyDescent="0.25">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t="s">
        <v>1002</v>
      </c>
    </row>
    <row r="50" spans="1:17" x14ac:dyDescent="0.25">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t="s">
        <v>1002</v>
      </c>
    </row>
    <row r="51" spans="1:17" x14ac:dyDescent="0.25">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t="s">
        <v>1000</v>
      </c>
    </row>
    <row r="52" spans="1:17" x14ac:dyDescent="0.25">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t="s">
        <v>1000</v>
      </c>
    </row>
    <row r="53" spans="1:17" x14ac:dyDescent="0.25">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t="s">
        <v>998</v>
      </c>
    </row>
    <row r="54" spans="1:17" x14ac:dyDescent="0.25">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t="s">
        <v>1002</v>
      </c>
    </row>
    <row r="55" spans="1:17" x14ac:dyDescent="0.25">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t="s">
        <v>1000</v>
      </c>
    </row>
    <row r="56" spans="1:17" x14ac:dyDescent="0.25">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t="s">
        <v>997</v>
      </c>
    </row>
    <row r="57" spans="1:17" x14ac:dyDescent="0.25">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t="s">
        <v>1000</v>
      </c>
    </row>
    <row r="58" spans="1:17" x14ac:dyDescent="0.25">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t="s">
        <v>1003</v>
      </c>
    </row>
    <row r="59" spans="1:17" x14ac:dyDescent="0.25">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t="s">
        <v>1001</v>
      </c>
    </row>
    <row r="60" spans="1:17" x14ac:dyDescent="0.25">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t="s">
        <v>1002</v>
      </c>
    </row>
    <row r="61" spans="1:17" x14ac:dyDescent="0.25">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t="s">
        <v>997</v>
      </c>
    </row>
    <row r="62" spans="1:17" x14ac:dyDescent="0.25">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t="s">
        <v>997</v>
      </c>
    </row>
    <row r="63" spans="1:17" x14ac:dyDescent="0.25">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t="s">
        <v>1000</v>
      </c>
    </row>
    <row r="64" spans="1:17" x14ac:dyDescent="0.25">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t="s">
        <v>997</v>
      </c>
    </row>
    <row r="65" spans="1:17" x14ac:dyDescent="0.25">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t="s">
        <v>998</v>
      </c>
    </row>
    <row r="66" spans="1:17" x14ac:dyDescent="0.25">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t="s">
        <v>1001</v>
      </c>
    </row>
    <row r="67" spans="1:17" x14ac:dyDescent="0.25">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t="s">
        <v>997</v>
      </c>
    </row>
    <row r="68" spans="1:17" x14ac:dyDescent="0.25">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t="s">
        <v>997</v>
      </c>
    </row>
    <row r="69" spans="1:17" x14ac:dyDescent="0.25">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t="s">
        <v>1000</v>
      </c>
    </row>
    <row r="70" spans="1:17" x14ac:dyDescent="0.25">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t="s">
        <v>998</v>
      </c>
    </row>
    <row r="71" spans="1:17" x14ac:dyDescent="0.25">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t="s">
        <v>999</v>
      </c>
    </row>
    <row r="72" spans="1:17" x14ac:dyDescent="0.25">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t="s">
        <v>999</v>
      </c>
    </row>
    <row r="73" spans="1:17" x14ac:dyDescent="0.25">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t="s">
        <v>1001</v>
      </c>
    </row>
    <row r="74" spans="1:17" x14ac:dyDescent="0.25">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t="s">
        <v>1000</v>
      </c>
    </row>
    <row r="75" spans="1:17" x14ac:dyDescent="0.25">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t="s">
        <v>1000</v>
      </c>
    </row>
    <row r="76" spans="1:17" x14ac:dyDescent="0.25">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t="s">
        <v>997</v>
      </c>
    </row>
    <row r="77" spans="1:17" x14ac:dyDescent="0.25">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t="s">
        <v>999</v>
      </c>
    </row>
    <row r="78" spans="1:17" x14ac:dyDescent="0.25">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t="s">
        <v>997</v>
      </c>
    </row>
    <row r="79" spans="1:17" x14ac:dyDescent="0.25">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t="s">
        <v>1002</v>
      </c>
    </row>
    <row r="80" spans="1:17" x14ac:dyDescent="0.25">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t="s">
        <v>997</v>
      </c>
    </row>
    <row r="81" spans="1:17" x14ac:dyDescent="0.25">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t="s">
        <v>1003</v>
      </c>
    </row>
    <row r="82" spans="1:17" x14ac:dyDescent="0.25">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t="s">
        <v>1002</v>
      </c>
    </row>
    <row r="83" spans="1:17" x14ac:dyDescent="0.25">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t="s">
        <v>998</v>
      </c>
    </row>
    <row r="84" spans="1:17" x14ac:dyDescent="0.25">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t="s">
        <v>997</v>
      </c>
    </row>
    <row r="85" spans="1:17" x14ac:dyDescent="0.25">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t="s">
        <v>998</v>
      </c>
    </row>
    <row r="86" spans="1:17" x14ac:dyDescent="0.25">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t="s">
        <v>999</v>
      </c>
    </row>
    <row r="87" spans="1:17" x14ac:dyDescent="0.25">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t="s">
        <v>1000</v>
      </c>
    </row>
    <row r="88" spans="1:17" x14ac:dyDescent="0.25">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t="s">
        <v>1001</v>
      </c>
    </row>
    <row r="89" spans="1:17" x14ac:dyDescent="0.25">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t="s">
        <v>999</v>
      </c>
    </row>
    <row r="90" spans="1:17" x14ac:dyDescent="0.25">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t="s">
        <v>998</v>
      </c>
    </row>
    <row r="91" spans="1:17" x14ac:dyDescent="0.25">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t="s">
        <v>1000</v>
      </c>
    </row>
    <row r="92" spans="1:17" x14ac:dyDescent="0.25">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t="s">
        <v>1000</v>
      </c>
    </row>
    <row r="93" spans="1:17" x14ac:dyDescent="0.25">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t="s">
        <v>1003</v>
      </c>
    </row>
    <row r="94" spans="1:17" x14ac:dyDescent="0.25">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t="s">
        <v>997</v>
      </c>
    </row>
    <row r="95" spans="1:17" x14ac:dyDescent="0.25">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t="s">
        <v>997</v>
      </c>
    </row>
    <row r="96" spans="1:17" x14ac:dyDescent="0.25">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t="s">
        <v>1000</v>
      </c>
    </row>
    <row r="97" spans="1:17" x14ac:dyDescent="0.25">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t="s">
        <v>1001</v>
      </c>
    </row>
    <row r="98" spans="1:17" x14ac:dyDescent="0.25">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t="s">
        <v>997</v>
      </c>
    </row>
    <row r="99" spans="1:17" x14ac:dyDescent="0.25">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t="s">
        <v>1002</v>
      </c>
    </row>
    <row r="100" spans="1:17" x14ac:dyDescent="0.25">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t="s">
        <v>998</v>
      </c>
    </row>
    <row r="101" spans="1:17" x14ac:dyDescent="0.25">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t="s">
        <v>1001</v>
      </c>
    </row>
    <row r="102" spans="1:17" x14ac:dyDescent="0.25">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t="s">
        <v>1003</v>
      </c>
    </row>
    <row r="103" spans="1:17" x14ac:dyDescent="0.25">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t="s">
        <v>1000</v>
      </c>
    </row>
    <row r="104" spans="1:17" x14ac:dyDescent="0.25">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t="s">
        <v>999</v>
      </c>
    </row>
    <row r="105" spans="1:17" x14ac:dyDescent="0.25">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t="s">
        <v>1001</v>
      </c>
    </row>
    <row r="106" spans="1:17" x14ac:dyDescent="0.25">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t="s">
        <v>1003</v>
      </c>
    </row>
    <row r="107" spans="1:17" x14ac:dyDescent="0.25">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t="s">
        <v>1001</v>
      </c>
    </row>
    <row r="108" spans="1:17" x14ac:dyDescent="0.25">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t="s">
        <v>1000</v>
      </c>
    </row>
    <row r="109" spans="1:17" x14ac:dyDescent="0.25">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t="s">
        <v>1000</v>
      </c>
    </row>
    <row r="110" spans="1:17" x14ac:dyDescent="0.25">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t="s">
        <v>1000</v>
      </c>
    </row>
    <row r="111" spans="1:17" x14ac:dyDescent="0.25">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t="s">
        <v>1001</v>
      </c>
    </row>
    <row r="112" spans="1:17" x14ac:dyDescent="0.25">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t="s">
        <v>1001</v>
      </c>
    </row>
    <row r="113" spans="1:17" x14ac:dyDescent="0.25">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t="s">
        <v>997</v>
      </c>
    </row>
    <row r="114" spans="1:17" x14ac:dyDescent="0.25">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t="s">
        <v>1001</v>
      </c>
    </row>
    <row r="115" spans="1:17" x14ac:dyDescent="0.25">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t="s">
        <v>999</v>
      </c>
    </row>
    <row r="116" spans="1:17" x14ac:dyDescent="0.25">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t="s">
        <v>998</v>
      </c>
    </row>
    <row r="117" spans="1:17" x14ac:dyDescent="0.25">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t="s">
        <v>1002</v>
      </c>
    </row>
    <row r="118" spans="1:17" x14ac:dyDescent="0.25">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t="s">
        <v>1000</v>
      </c>
    </row>
    <row r="119" spans="1:17" x14ac:dyDescent="0.25">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t="s">
        <v>1000</v>
      </c>
    </row>
    <row r="120" spans="1:17" x14ac:dyDescent="0.25">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t="s">
        <v>999</v>
      </c>
    </row>
    <row r="121" spans="1:17" x14ac:dyDescent="0.25">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t="s">
        <v>1003</v>
      </c>
    </row>
    <row r="122" spans="1:17" x14ac:dyDescent="0.25">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t="s">
        <v>1003</v>
      </c>
    </row>
    <row r="123" spans="1:17" x14ac:dyDescent="0.25">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t="s">
        <v>1000</v>
      </c>
    </row>
    <row r="124" spans="1:17" x14ac:dyDescent="0.25">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t="s">
        <v>1000</v>
      </c>
    </row>
    <row r="125" spans="1:17" x14ac:dyDescent="0.25">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t="s">
        <v>1000</v>
      </c>
    </row>
    <row r="126" spans="1:17" x14ac:dyDescent="0.25">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t="s">
        <v>998</v>
      </c>
    </row>
    <row r="127" spans="1:17" x14ac:dyDescent="0.25">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t="s">
        <v>1001</v>
      </c>
    </row>
    <row r="128" spans="1:17" x14ac:dyDescent="0.25">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t="s">
        <v>998</v>
      </c>
    </row>
    <row r="129" spans="1:17" x14ac:dyDescent="0.25">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t="s">
        <v>997</v>
      </c>
    </row>
    <row r="130" spans="1:17" x14ac:dyDescent="0.25">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t="s">
        <v>1001</v>
      </c>
    </row>
    <row r="131" spans="1:17" x14ac:dyDescent="0.25">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t="s">
        <v>1001</v>
      </c>
    </row>
    <row r="132" spans="1:17" x14ac:dyDescent="0.25">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t="s">
        <v>999</v>
      </c>
    </row>
    <row r="133" spans="1:17" x14ac:dyDescent="0.25">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t="s">
        <v>1001</v>
      </c>
    </row>
    <row r="134" spans="1:17" x14ac:dyDescent="0.25">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t="s">
        <v>999</v>
      </c>
    </row>
    <row r="135" spans="1:17" x14ac:dyDescent="0.25">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t="s">
        <v>1002</v>
      </c>
    </row>
    <row r="136" spans="1:17" x14ac:dyDescent="0.25">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t="s">
        <v>1002</v>
      </c>
    </row>
    <row r="137" spans="1:17" x14ac:dyDescent="0.25">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t="s">
        <v>1001</v>
      </c>
    </row>
    <row r="138" spans="1:17" x14ac:dyDescent="0.25">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t="s">
        <v>1003</v>
      </c>
    </row>
    <row r="139" spans="1:17" x14ac:dyDescent="0.25">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t="s">
        <v>1000</v>
      </c>
    </row>
    <row r="140" spans="1:17" x14ac:dyDescent="0.25">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t="s">
        <v>999</v>
      </c>
    </row>
    <row r="141" spans="1:17" x14ac:dyDescent="0.25">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t="s">
        <v>1002</v>
      </c>
    </row>
    <row r="142" spans="1:17" x14ac:dyDescent="0.25">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t="s">
        <v>1002</v>
      </c>
    </row>
    <row r="143" spans="1:17" x14ac:dyDescent="0.25">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t="s">
        <v>1002</v>
      </c>
    </row>
    <row r="144" spans="1:17" x14ac:dyDescent="0.25">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t="s">
        <v>1000</v>
      </c>
    </row>
    <row r="145" spans="1:17" x14ac:dyDescent="0.25">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t="s">
        <v>1000</v>
      </c>
    </row>
    <row r="146" spans="1:17" x14ac:dyDescent="0.25">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t="s">
        <v>1002</v>
      </c>
    </row>
    <row r="147" spans="1:17" x14ac:dyDescent="0.25">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t="s">
        <v>1002</v>
      </c>
    </row>
    <row r="148" spans="1:17" x14ac:dyDescent="0.25">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t="s">
        <v>1000</v>
      </c>
    </row>
    <row r="149" spans="1:17" x14ac:dyDescent="0.25">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t="s">
        <v>1000</v>
      </c>
    </row>
    <row r="150" spans="1:17" x14ac:dyDescent="0.25">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t="s">
        <v>1002</v>
      </c>
    </row>
    <row r="151" spans="1:17" x14ac:dyDescent="0.25">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t="s">
        <v>1001</v>
      </c>
    </row>
    <row r="152" spans="1:17" x14ac:dyDescent="0.25">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t="s">
        <v>1003</v>
      </c>
    </row>
    <row r="153" spans="1:17" x14ac:dyDescent="0.25">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t="s">
        <v>1003</v>
      </c>
    </row>
    <row r="154" spans="1:17" x14ac:dyDescent="0.25">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t="s">
        <v>1003</v>
      </c>
    </row>
    <row r="155" spans="1:17" x14ac:dyDescent="0.25">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t="s">
        <v>1000</v>
      </c>
    </row>
    <row r="156" spans="1:17" x14ac:dyDescent="0.25">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t="s">
        <v>1002</v>
      </c>
    </row>
    <row r="157" spans="1:17" x14ac:dyDescent="0.25">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t="s">
        <v>997</v>
      </c>
    </row>
    <row r="158" spans="1:17" x14ac:dyDescent="0.25">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t="s">
        <v>1000</v>
      </c>
    </row>
    <row r="159" spans="1:17" x14ac:dyDescent="0.25">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t="s">
        <v>1000</v>
      </c>
    </row>
    <row r="160" spans="1:17" x14ac:dyDescent="0.25">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t="s">
        <v>1002</v>
      </c>
    </row>
    <row r="161" spans="1:17" x14ac:dyDescent="0.25">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t="s">
        <v>1001</v>
      </c>
    </row>
    <row r="162" spans="1:17" x14ac:dyDescent="0.25">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t="s">
        <v>1000</v>
      </c>
    </row>
    <row r="163" spans="1:17" x14ac:dyDescent="0.25">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t="s">
        <v>1000</v>
      </c>
    </row>
    <row r="164" spans="1:17" x14ac:dyDescent="0.25">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t="s">
        <v>1001</v>
      </c>
    </row>
    <row r="165" spans="1:17" x14ac:dyDescent="0.25">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t="s">
        <v>1002</v>
      </c>
    </row>
    <row r="166" spans="1:17" x14ac:dyDescent="0.25">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t="s">
        <v>1002</v>
      </c>
    </row>
    <row r="167" spans="1:17" x14ac:dyDescent="0.25">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t="s">
        <v>1002</v>
      </c>
    </row>
    <row r="168" spans="1:17" x14ac:dyDescent="0.25">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t="s">
        <v>1000</v>
      </c>
    </row>
    <row r="169" spans="1:17" x14ac:dyDescent="0.25">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t="s">
        <v>1001</v>
      </c>
    </row>
    <row r="170" spans="1:17" x14ac:dyDescent="0.25">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t="s">
        <v>1001</v>
      </c>
    </row>
    <row r="171" spans="1:17" x14ac:dyDescent="0.25">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t="s">
        <v>1000</v>
      </c>
    </row>
    <row r="172" spans="1:17" x14ac:dyDescent="0.25">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t="s">
        <v>1003</v>
      </c>
    </row>
    <row r="173" spans="1:17" x14ac:dyDescent="0.25">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t="s">
        <v>1002</v>
      </c>
    </row>
    <row r="174" spans="1:17" x14ac:dyDescent="0.25">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t="s">
        <v>1001</v>
      </c>
    </row>
    <row r="175" spans="1:17" x14ac:dyDescent="0.25">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t="s">
        <v>1002</v>
      </c>
    </row>
    <row r="176" spans="1:17" x14ac:dyDescent="0.25">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t="s">
        <v>1002</v>
      </c>
    </row>
    <row r="177" spans="1:17" x14ac:dyDescent="0.25">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t="s">
        <v>1002</v>
      </c>
    </row>
    <row r="178" spans="1:17" x14ac:dyDescent="0.25">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t="s">
        <v>1000</v>
      </c>
    </row>
    <row r="179" spans="1:17" x14ac:dyDescent="0.25">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t="s">
        <v>1003</v>
      </c>
    </row>
    <row r="180" spans="1:17" x14ac:dyDescent="0.25">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t="s">
        <v>1000</v>
      </c>
    </row>
    <row r="181" spans="1:17" x14ac:dyDescent="0.25">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t="s">
        <v>1002</v>
      </c>
    </row>
    <row r="182" spans="1:17" x14ac:dyDescent="0.25">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t="s">
        <v>1000</v>
      </c>
    </row>
    <row r="183" spans="1:17" x14ac:dyDescent="0.25">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t="s">
        <v>1001</v>
      </c>
    </row>
    <row r="184" spans="1:17" x14ac:dyDescent="0.25">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t="s">
        <v>1003</v>
      </c>
    </row>
    <row r="185" spans="1:17" x14ac:dyDescent="0.25">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t="s">
        <v>1003</v>
      </c>
    </row>
    <row r="186" spans="1:17" x14ac:dyDescent="0.25">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t="s">
        <v>1002</v>
      </c>
    </row>
    <row r="187" spans="1:17" x14ac:dyDescent="0.25">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t="s">
        <v>997</v>
      </c>
    </row>
    <row r="188" spans="1:17" x14ac:dyDescent="0.25">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t="s">
        <v>1000</v>
      </c>
    </row>
    <row r="189" spans="1:17" x14ac:dyDescent="0.25">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t="s">
        <v>999</v>
      </c>
    </row>
    <row r="190" spans="1:17" x14ac:dyDescent="0.25">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t="s">
        <v>997</v>
      </c>
    </row>
    <row r="191" spans="1:17" x14ac:dyDescent="0.25">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t="s">
        <v>1003</v>
      </c>
    </row>
    <row r="192" spans="1:17" x14ac:dyDescent="0.25">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t="s">
        <v>1003</v>
      </c>
    </row>
    <row r="193" spans="1:17" x14ac:dyDescent="0.25">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t="s">
        <v>1001</v>
      </c>
    </row>
    <row r="194" spans="1:17" x14ac:dyDescent="0.25">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t="s">
        <v>1000</v>
      </c>
    </row>
    <row r="195" spans="1:17" x14ac:dyDescent="0.25">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t="s">
        <v>1000</v>
      </c>
    </row>
    <row r="196" spans="1:17" x14ac:dyDescent="0.25">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t="s">
        <v>999</v>
      </c>
    </row>
    <row r="197" spans="1:17" x14ac:dyDescent="0.25">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t="s">
        <v>1000</v>
      </c>
    </row>
    <row r="198" spans="1:17" x14ac:dyDescent="0.25">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t="s">
        <v>1002</v>
      </c>
    </row>
    <row r="199" spans="1:17" x14ac:dyDescent="0.25">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t="s">
        <v>1002</v>
      </c>
    </row>
    <row r="200" spans="1:17" x14ac:dyDescent="0.25">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t="s">
        <v>1002</v>
      </c>
    </row>
    <row r="201" spans="1:17" x14ac:dyDescent="0.25">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t="s">
        <v>1001</v>
      </c>
    </row>
    <row r="202" spans="1:17" x14ac:dyDescent="0.25">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t="s">
        <v>998</v>
      </c>
    </row>
    <row r="203" spans="1:17" x14ac:dyDescent="0.25">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t="s">
        <v>1001</v>
      </c>
    </row>
    <row r="204" spans="1:17" x14ac:dyDescent="0.25">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t="s">
        <v>1003</v>
      </c>
    </row>
    <row r="205" spans="1:17" x14ac:dyDescent="0.25">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t="s">
        <v>1003</v>
      </c>
    </row>
    <row r="206" spans="1:17" x14ac:dyDescent="0.25">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t="s">
        <v>1002</v>
      </c>
    </row>
    <row r="207" spans="1:17" x14ac:dyDescent="0.25">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t="s">
        <v>1001</v>
      </c>
    </row>
    <row r="208" spans="1:17" x14ac:dyDescent="0.25">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t="s">
        <v>1000</v>
      </c>
    </row>
    <row r="209" spans="1:17" x14ac:dyDescent="0.25">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t="s">
        <v>1001</v>
      </c>
    </row>
    <row r="210" spans="1:17" x14ac:dyDescent="0.25">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t="s">
        <v>998</v>
      </c>
    </row>
    <row r="211" spans="1:17" x14ac:dyDescent="0.25">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t="s">
        <v>1000</v>
      </c>
    </row>
    <row r="212" spans="1:17" x14ac:dyDescent="0.25">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t="s">
        <v>1002</v>
      </c>
    </row>
    <row r="213" spans="1:17" x14ac:dyDescent="0.25">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t="s">
        <v>1002</v>
      </c>
    </row>
    <row r="214" spans="1:17" x14ac:dyDescent="0.25">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t="s">
        <v>1003</v>
      </c>
    </row>
    <row r="215" spans="1:17" x14ac:dyDescent="0.25">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t="s">
        <v>998</v>
      </c>
    </row>
    <row r="216" spans="1:17" x14ac:dyDescent="0.25">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t="s">
        <v>1002</v>
      </c>
    </row>
    <row r="217" spans="1:17" x14ac:dyDescent="0.25">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t="s">
        <v>1000</v>
      </c>
    </row>
    <row r="218" spans="1:17" x14ac:dyDescent="0.25">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t="s">
        <v>1001</v>
      </c>
    </row>
    <row r="219" spans="1:17" x14ac:dyDescent="0.25">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t="s">
        <v>997</v>
      </c>
    </row>
    <row r="220" spans="1:17" x14ac:dyDescent="0.25">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t="s">
        <v>999</v>
      </c>
    </row>
    <row r="221" spans="1:17" x14ac:dyDescent="0.25">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t="s">
        <v>1002</v>
      </c>
    </row>
    <row r="222" spans="1:17" x14ac:dyDescent="0.25">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t="s">
        <v>999</v>
      </c>
    </row>
    <row r="223" spans="1:17" x14ac:dyDescent="0.25">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t="s">
        <v>998</v>
      </c>
    </row>
    <row r="224" spans="1:17" x14ac:dyDescent="0.25">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t="s">
        <v>999</v>
      </c>
    </row>
    <row r="225" spans="1:17" x14ac:dyDescent="0.25">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t="s">
        <v>999</v>
      </c>
    </row>
    <row r="226" spans="1:17" x14ac:dyDescent="0.25">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t="s">
        <v>997</v>
      </c>
    </row>
    <row r="227" spans="1:17" x14ac:dyDescent="0.25">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t="s">
        <v>1001</v>
      </c>
    </row>
    <row r="228" spans="1:17" x14ac:dyDescent="0.25">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t="s">
        <v>1000</v>
      </c>
    </row>
    <row r="229" spans="1:17" x14ac:dyDescent="0.25">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t="s">
        <v>1000</v>
      </c>
    </row>
    <row r="230" spans="1:17" x14ac:dyDescent="0.25">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t="s">
        <v>1003</v>
      </c>
    </row>
    <row r="231" spans="1:17" x14ac:dyDescent="0.25">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t="s">
        <v>998</v>
      </c>
    </row>
    <row r="232" spans="1:17" x14ac:dyDescent="0.25">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t="s">
        <v>999</v>
      </c>
    </row>
    <row r="233" spans="1:17" x14ac:dyDescent="0.25">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t="s">
        <v>1003</v>
      </c>
    </row>
    <row r="234" spans="1:17" x14ac:dyDescent="0.25">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t="s">
        <v>998</v>
      </c>
    </row>
    <row r="235" spans="1:17" x14ac:dyDescent="0.25">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t="s">
        <v>1000</v>
      </c>
    </row>
    <row r="236" spans="1:17" x14ac:dyDescent="0.25">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t="s">
        <v>998</v>
      </c>
    </row>
    <row r="237" spans="1:17" x14ac:dyDescent="0.25">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t="s">
        <v>1002</v>
      </c>
    </row>
    <row r="238" spans="1:17" x14ac:dyDescent="0.25">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t="s">
        <v>1001</v>
      </c>
    </row>
    <row r="239" spans="1:17" x14ac:dyDescent="0.25">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t="s">
        <v>1002</v>
      </c>
    </row>
    <row r="240" spans="1:17" x14ac:dyDescent="0.25">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t="s">
        <v>1000</v>
      </c>
    </row>
    <row r="241" spans="1:17" x14ac:dyDescent="0.25">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t="s">
        <v>998</v>
      </c>
    </row>
    <row r="242" spans="1:17" x14ac:dyDescent="0.25">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t="s">
        <v>1000</v>
      </c>
    </row>
    <row r="243" spans="1:17" x14ac:dyDescent="0.25">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t="s">
        <v>1003</v>
      </c>
    </row>
    <row r="244" spans="1:17" x14ac:dyDescent="0.25">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t="s">
        <v>1003</v>
      </c>
    </row>
    <row r="245" spans="1:17" x14ac:dyDescent="0.25">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t="s">
        <v>1000</v>
      </c>
    </row>
    <row r="246" spans="1:17" x14ac:dyDescent="0.25">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t="s">
        <v>1003</v>
      </c>
    </row>
    <row r="247" spans="1:17" x14ac:dyDescent="0.25">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t="s">
        <v>997</v>
      </c>
    </row>
    <row r="248" spans="1:17" x14ac:dyDescent="0.25">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t="s">
        <v>1003</v>
      </c>
    </row>
    <row r="249" spans="1:17" x14ac:dyDescent="0.25">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t="s">
        <v>1002</v>
      </c>
    </row>
    <row r="250" spans="1:17" x14ac:dyDescent="0.25">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t="s">
        <v>1002</v>
      </c>
    </row>
    <row r="251" spans="1:17" x14ac:dyDescent="0.25">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t="s">
        <v>998</v>
      </c>
    </row>
    <row r="252" spans="1:17" x14ac:dyDescent="0.25">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t="s">
        <v>997</v>
      </c>
    </row>
    <row r="253" spans="1:17" x14ac:dyDescent="0.25">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t="s">
        <v>1002</v>
      </c>
    </row>
    <row r="254" spans="1:17" x14ac:dyDescent="0.25">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t="s">
        <v>1000</v>
      </c>
    </row>
    <row r="255" spans="1:17" x14ac:dyDescent="0.25">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t="s">
        <v>997</v>
      </c>
    </row>
    <row r="256" spans="1:17" x14ac:dyDescent="0.25">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t="s">
        <v>997</v>
      </c>
    </row>
    <row r="257" spans="1:17" x14ac:dyDescent="0.25">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t="s">
        <v>1001</v>
      </c>
    </row>
    <row r="258" spans="1:17" x14ac:dyDescent="0.25">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t="s">
        <v>1003</v>
      </c>
    </row>
    <row r="259" spans="1:17" x14ac:dyDescent="0.25">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t="s">
        <v>997</v>
      </c>
    </row>
    <row r="260" spans="1:17" x14ac:dyDescent="0.25">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t="s">
        <v>1003</v>
      </c>
    </row>
    <row r="261" spans="1:17" x14ac:dyDescent="0.25">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t="s">
        <v>1003</v>
      </c>
    </row>
    <row r="262" spans="1:17" x14ac:dyDescent="0.25">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t="s">
        <v>1002</v>
      </c>
    </row>
    <row r="263" spans="1:17" x14ac:dyDescent="0.25">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t="s">
        <v>997</v>
      </c>
    </row>
    <row r="264" spans="1:17" x14ac:dyDescent="0.25">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t="s">
        <v>999</v>
      </c>
    </row>
    <row r="265" spans="1:17" x14ac:dyDescent="0.25">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t="s">
        <v>999</v>
      </c>
    </row>
    <row r="266" spans="1:17" x14ac:dyDescent="0.25">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t="s">
        <v>997</v>
      </c>
    </row>
    <row r="267" spans="1:17" x14ac:dyDescent="0.25">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t="s">
        <v>997</v>
      </c>
    </row>
    <row r="268" spans="1:17" x14ac:dyDescent="0.25">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t="s">
        <v>1003</v>
      </c>
    </row>
    <row r="269" spans="1:17" x14ac:dyDescent="0.25">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t="s">
        <v>997</v>
      </c>
    </row>
    <row r="270" spans="1:17" x14ac:dyDescent="0.25">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t="s">
        <v>997</v>
      </c>
    </row>
    <row r="271" spans="1:17" x14ac:dyDescent="0.25">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t="s">
        <v>1000</v>
      </c>
    </row>
    <row r="272" spans="1:17" x14ac:dyDescent="0.25">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t="s">
        <v>1000</v>
      </c>
    </row>
    <row r="273" spans="1:17" x14ac:dyDescent="0.25">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t="s">
        <v>997</v>
      </c>
    </row>
    <row r="274" spans="1:17" x14ac:dyDescent="0.25">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t="s">
        <v>997</v>
      </c>
    </row>
    <row r="275" spans="1:17" x14ac:dyDescent="0.25">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t="s">
        <v>999</v>
      </c>
    </row>
    <row r="276" spans="1:17" x14ac:dyDescent="0.25">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t="s">
        <v>997</v>
      </c>
    </row>
    <row r="277" spans="1:17" x14ac:dyDescent="0.25">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t="s">
        <v>999</v>
      </c>
    </row>
    <row r="278" spans="1:17" x14ac:dyDescent="0.25">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t="s">
        <v>1000</v>
      </c>
    </row>
    <row r="279" spans="1:17" x14ac:dyDescent="0.25">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t="s">
        <v>1000</v>
      </c>
    </row>
    <row r="280" spans="1:17" x14ac:dyDescent="0.25">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t="s">
        <v>998</v>
      </c>
    </row>
    <row r="281" spans="1:17" x14ac:dyDescent="0.25">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t="s">
        <v>1000</v>
      </c>
    </row>
    <row r="282" spans="1:17" x14ac:dyDescent="0.25">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t="s">
        <v>1001</v>
      </c>
    </row>
    <row r="283" spans="1:17" x14ac:dyDescent="0.25">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t="s">
        <v>1000</v>
      </c>
    </row>
    <row r="284" spans="1:17" x14ac:dyDescent="0.25">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t="s">
        <v>1000</v>
      </c>
    </row>
    <row r="285" spans="1:17" x14ac:dyDescent="0.25">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t="s">
        <v>1000</v>
      </c>
    </row>
    <row r="286" spans="1:17" x14ac:dyDescent="0.25">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t="s">
        <v>1001</v>
      </c>
    </row>
    <row r="287" spans="1:17" x14ac:dyDescent="0.25">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t="s">
        <v>997</v>
      </c>
    </row>
    <row r="288" spans="1:17" x14ac:dyDescent="0.25">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t="s">
        <v>1003</v>
      </c>
    </row>
    <row r="289" spans="1:17" x14ac:dyDescent="0.25">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t="s">
        <v>1001</v>
      </c>
    </row>
    <row r="290" spans="1:17" x14ac:dyDescent="0.25">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t="s">
        <v>999</v>
      </c>
    </row>
    <row r="291" spans="1:17" x14ac:dyDescent="0.25">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t="s">
        <v>1001</v>
      </c>
    </row>
    <row r="292" spans="1:17" x14ac:dyDescent="0.25">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t="s">
        <v>998</v>
      </c>
    </row>
    <row r="293" spans="1:17" x14ac:dyDescent="0.25">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t="s">
        <v>1003</v>
      </c>
    </row>
    <row r="294" spans="1:17" x14ac:dyDescent="0.25">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t="s">
        <v>1001</v>
      </c>
    </row>
    <row r="295" spans="1:17" x14ac:dyDescent="0.25">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t="s">
        <v>1002</v>
      </c>
    </row>
    <row r="296" spans="1:17" x14ac:dyDescent="0.25">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t="s">
        <v>1002</v>
      </c>
    </row>
    <row r="297" spans="1:17" x14ac:dyDescent="0.25">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t="s">
        <v>998</v>
      </c>
    </row>
    <row r="298" spans="1:17" x14ac:dyDescent="0.25">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t="s">
        <v>1001</v>
      </c>
    </row>
    <row r="299" spans="1:17" x14ac:dyDescent="0.25">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t="s">
        <v>997</v>
      </c>
    </row>
    <row r="300" spans="1:17" x14ac:dyDescent="0.25">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t="s">
        <v>999</v>
      </c>
    </row>
    <row r="301" spans="1:17" x14ac:dyDescent="0.25">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t="s">
        <v>999</v>
      </c>
    </row>
    <row r="302" spans="1:17" x14ac:dyDescent="0.25">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t="s">
        <v>999</v>
      </c>
    </row>
    <row r="303" spans="1:17" x14ac:dyDescent="0.25">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t="s">
        <v>997</v>
      </c>
    </row>
    <row r="304" spans="1:17" x14ac:dyDescent="0.25">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t="s">
        <v>998</v>
      </c>
    </row>
    <row r="305" spans="1:17" x14ac:dyDescent="0.25">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t="s">
        <v>999</v>
      </c>
    </row>
    <row r="306" spans="1:17" x14ac:dyDescent="0.25">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t="s">
        <v>999</v>
      </c>
    </row>
    <row r="307" spans="1:17" x14ac:dyDescent="0.25">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t="s">
        <v>1001</v>
      </c>
    </row>
    <row r="308" spans="1:17" x14ac:dyDescent="0.25">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t="s">
        <v>999</v>
      </c>
    </row>
    <row r="309" spans="1:17" x14ac:dyDescent="0.25">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t="s">
        <v>999</v>
      </c>
    </row>
    <row r="310" spans="1:17" x14ac:dyDescent="0.25">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t="s">
        <v>1000</v>
      </c>
    </row>
    <row r="311" spans="1:17" x14ac:dyDescent="0.25">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t="s">
        <v>1002</v>
      </c>
    </row>
    <row r="312" spans="1:17" x14ac:dyDescent="0.25">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t="s">
        <v>1000</v>
      </c>
    </row>
    <row r="313" spans="1:17" x14ac:dyDescent="0.25">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t="s">
        <v>998</v>
      </c>
    </row>
    <row r="314" spans="1:17" x14ac:dyDescent="0.25">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t="s">
        <v>1002</v>
      </c>
    </row>
    <row r="315" spans="1:17" x14ac:dyDescent="0.25">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t="s">
        <v>1003</v>
      </c>
    </row>
    <row r="316" spans="1:17" x14ac:dyDescent="0.25">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t="s">
        <v>997</v>
      </c>
    </row>
    <row r="317" spans="1:17" x14ac:dyDescent="0.25">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t="s">
        <v>1001</v>
      </c>
    </row>
    <row r="318" spans="1:17" x14ac:dyDescent="0.25">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t="s">
        <v>1002</v>
      </c>
    </row>
    <row r="319" spans="1:17" x14ac:dyDescent="0.25">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t="s">
        <v>1000</v>
      </c>
    </row>
    <row r="320" spans="1:17" x14ac:dyDescent="0.25">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t="s">
        <v>1003</v>
      </c>
    </row>
    <row r="321" spans="1:17" x14ac:dyDescent="0.25">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t="s">
        <v>1003</v>
      </c>
    </row>
    <row r="322" spans="1:17" x14ac:dyDescent="0.25">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t="s">
        <v>998</v>
      </c>
    </row>
    <row r="323" spans="1:17" x14ac:dyDescent="0.25">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t="s">
        <v>998</v>
      </c>
    </row>
    <row r="324" spans="1:17" x14ac:dyDescent="0.25">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t="s">
        <v>1001</v>
      </c>
    </row>
    <row r="325" spans="1:17" x14ac:dyDescent="0.25">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t="s">
        <v>1001</v>
      </c>
    </row>
    <row r="326" spans="1:17" x14ac:dyDescent="0.25">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t="s">
        <v>1003</v>
      </c>
    </row>
    <row r="327" spans="1:17" x14ac:dyDescent="0.25">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t="s">
        <v>1002</v>
      </c>
    </row>
    <row r="328" spans="1:17" x14ac:dyDescent="0.25">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t="s">
        <v>1002</v>
      </c>
    </row>
    <row r="329" spans="1:17" x14ac:dyDescent="0.25">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t="s">
        <v>1000</v>
      </c>
    </row>
    <row r="330" spans="1:17" x14ac:dyDescent="0.25">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t="s">
        <v>998</v>
      </c>
    </row>
    <row r="331" spans="1:17" x14ac:dyDescent="0.25">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t="s">
        <v>1002</v>
      </c>
    </row>
    <row r="332" spans="1:17" x14ac:dyDescent="0.25">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t="s">
        <v>999</v>
      </c>
    </row>
    <row r="333" spans="1:17" x14ac:dyDescent="0.25">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t="s">
        <v>1003</v>
      </c>
    </row>
    <row r="334" spans="1:17" x14ac:dyDescent="0.25">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t="s">
        <v>999</v>
      </c>
    </row>
    <row r="335" spans="1:17" x14ac:dyDescent="0.25">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t="s">
        <v>1001</v>
      </c>
    </row>
    <row r="336" spans="1:17" x14ac:dyDescent="0.25">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t="s">
        <v>999</v>
      </c>
    </row>
    <row r="337" spans="1:17" x14ac:dyDescent="0.25">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t="s">
        <v>1000</v>
      </c>
    </row>
    <row r="338" spans="1:17" x14ac:dyDescent="0.25">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t="s">
        <v>1003</v>
      </c>
    </row>
    <row r="339" spans="1:17" x14ac:dyDescent="0.25">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t="s">
        <v>998</v>
      </c>
    </row>
    <row r="340" spans="1:17" x14ac:dyDescent="0.25">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t="s">
        <v>1003</v>
      </c>
    </row>
    <row r="341" spans="1:17" x14ac:dyDescent="0.25">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t="s">
        <v>1002</v>
      </c>
    </row>
    <row r="342" spans="1:17" x14ac:dyDescent="0.25">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t="s">
        <v>999</v>
      </c>
    </row>
    <row r="343" spans="1:17" x14ac:dyDescent="0.25">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t="s">
        <v>997</v>
      </c>
    </row>
    <row r="344" spans="1:17" x14ac:dyDescent="0.25">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t="s">
        <v>1000</v>
      </c>
    </row>
    <row r="345" spans="1:17" x14ac:dyDescent="0.25">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t="s">
        <v>999</v>
      </c>
    </row>
    <row r="346" spans="1:17" x14ac:dyDescent="0.25">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t="s">
        <v>1003</v>
      </c>
    </row>
    <row r="347" spans="1:17" x14ac:dyDescent="0.25">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t="s">
        <v>1001</v>
      </c>
    </row>
    <row r="348" spans="1:17" x14ac:dyDescent="0.25">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t="s">
        <v>999</v>
      </c>
    </row>
    <row r="349" spans="1:17" x14ac:dyDescent="0.25">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t="s">
        <v>1003</v>
      </c>
    </row>
    <row r="350" spans="1:17" x14ac:dyDescent="0.25">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t="s">
        <v>1001</v>
      </c>
    </row>
    <row r="351" spans="1:17" x14ac:dyDescent="0.25">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t="s">
        <v>1001</v>
      </c>
    </row>
    <row r="352" spans="1:17" x14ac:dyDescent="0.25">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t="s">
        <v>1003</v>
      </c>
    </row>
    <row r="353" spans="1:17" x14ac:dyDescent="0.25">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t="s">
        <v>999</v>
      </c>
    </row>
    <row r="354" spans="1:17" x14ac:dyDescent="0.25">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t="s">
        <v>998</v>
      </c>
    </row>
    <row r="355" spans="1:17" x14ac:dyDescent="0.25">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t="s">
        <v>1000</v>
      </c>
    </row>
    <row r="356" spans="1:17" x14ac:dyDescent="0.25">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t="s">
        <v>997</v>
      </c>
    </row>
    <row r="357" spans="1:17" x14ac:dyDescent="0.25">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t="s">
        <v>999</v>
      </c>
    </row>
    <row r="358" spans="1:17" x14ac:dyDescent="0.25">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t="s">
        <v>999</v>
      </c>
    </row>
    <row r="359" spans="1:17" x14ac:dyDescent="0.25">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t="s">
        <v>1002</v>
      </c>
    </row>
    <row r="360" spans="1:17" x14ac:dyDescent="0.25">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t="s">
        <v>999</v>
      </c>
    </row>
    <row r="361" spans="1:17" x14ac:dyDescent="0.25">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t="s">
        <v>1002</v>
      </c>
    </row>
    <row r="362" spans="1:17" x14ac:dyDescent="0.25">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t="s">
        <v>1000</v>
      </c>
    </row>
    <row r="363" spans="1:17" x14ac:dyDescent="0.25">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t="s">
        <v>1003</v>
      </c>
    </row>
    <row r="364" spans="1:17" x14ac:dyDescent="0.25">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t="s">
        <v>1000</v>
      </c>
    </row>
    <row r="365" spans="1:17" x14ac:dyDescent="0.25">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t="s">
        <v>1002</v>
      </c>
    </row>
    <row r="366" spans="1:17" x14ac:dyDescent="0.25">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t="s">
        <v>1001</v>
      </c>
    </row>
    <row r="367" spans="1:17" x14ac:dyDescent="0.25">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t="s">
        <v>1001</v>
      </c>
    </row>
    <row r="368" spans="1:17" x14ac:dyDescent="0.25">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t="s">
        <v>1002</v>
      </c>
    </row>
    <row r="369" spans="1:17" x14ac:dyDescent="0.25">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t="s">
        <v>1000</v>
      </c>
    </row>
    <row r="370" spans="1:17" x14ac:dyDescent="0.25">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t="s">
        <v>1000</v>
      </c>
    </row>
    <row r="371" spans="1:17" x14ac:dyDescent="0.25">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t="s">
        <v>1001</v>
      </c>
    </row>
    <row r="372" spans="1:17" x14ac:dyDescent="0.25">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t="s">
        <v>1001</v>
      </c>
    </row>
    <row r="373" spans="1:17" x14ac:dyDescent="0.25">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t="s">
        <v>997</v>
      </c>
    </row>
    <row r="374" spans="1:17" x14ac:dyDescent="0.25">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t="s">
        <v>1002</v>
      </c>
    </row>
    <row r="375" spans="1:17" x14ac:dyDescent="0.25">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t="s">
        <v>999</v>
      </c>
    </row>
    <row r="376" spans="1:17" x14ac:dyDescent="0.25">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t="s">
        <v>1003</v>
      </c>
    </row>
    <row r="377" spans="1:17" x14ac:dyDescent="0.25">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t="s">
        <v>998</v>
      </c>
    </row>
    <row r="378" spans="1:17" x14ac:dyDescent="0.25">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t="s">
        <v>1003</v>
      </c>
    </row>
    <row r="379" spans="1:17" x14ac:dyDescent="0.25">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t="s">
        <v>997</v>
      </c>
    </row>
    <row r="380" spans="1:17" x14ac:dyDescent="0.25">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t="s">
        <v>1000</v>
      </c>
    </row>
    <row r="381" spans="1:17" x14ac:dyDescent="0.25">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t="s">
        <v>1000</v>
      </c>
    </row>
    <row r="382" spans="1:17" x14ac:dyDescent="0.25">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t="s">
        <v>1000</v>
      </c>
    </row>
    <row r="383" spans="1:17" x14ac:dyDescent="0.25">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t="s">
        <v>1002</v>
      </c>
    </row>
    <row r="384" spans="1:17" x14ac:dyDescent="0.25">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t="s">
        <v>1002</v>
      </c>
    </row>
    <row r="385" spans="1:17" x14ac:dyDescent="0.25">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t="s">
        <v>1000</v>
      </c>
    </row>
    <row r="386" spans="1:17" x14ac:dyDescent="0.25">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t="s">
        <v>1000</v>
      </c>
    </row>
    <row r="387" spans="1:17" x14ac:dyDescent="0.25">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t="s">
        <v>997</v>
      </c>
    </row>
    <row r="388" spans="1:17" x14ac:dyDescent="0.25">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t="s">
        <v>999</v>
      </c>
    </row>
    <row r="389" spans="1:17" x14ac:dyDescent="0.25">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t="s">
        <v>998</v>
      </c>
    </row>
    <row r="390" spans="1:17" x14ac:dyDescent="0.25">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t="s">
        <v>1000</v>
      </c>
    </row>
    <row r="391" spans="1:17" x14ac:dyDescent="0.25">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t="s">
        <v>1002</v>
      </c>
    </row>
    <row r="392" spans="1:17" x14ac:dyDescent="0.25">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t="s">
        <v>997</v>
      </c>
    </row>
    <row r="393" spans="1:17" x14ac:dyDescent="0.25">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t="s">
        <v>1000</v>
      </c>
    </row>
    <row r="394" spans="1:17" x14ac:dyDescent="0.25">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t="s">
        <v>1003</v>
      </c>
    </row>
    <row r="395" spans="1:17" x14ac:dyDescent="0.25">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t="s">
        <v>1000</v>
      </c>
    </row>
    <row r="396" spans="1:17" x14ac:dyDescent="0.25">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t="s">
        <v>1003</v>
      </c>
    </row>
    <row r="397" spans="1:17" x14ac:dyDescent="0.25">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t="s">
        <v>1002</v>
      </c>
    </row>
    <row r="398" spans="1:17" x14ac:dyDescent="0.25">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t="s">
        <v>1000</v>
      </c>
    </row>
    <row r="399" spans="1:17" x14ac:dyDescent="0.25">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t="s">
        <v>1001</v>
      </c>
    </row>
    <row r="400" spans="1:17" x14ac:dyDescent="0.25">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t="s">
        <v>1003</v>
      </c>
    </row>
    <row r="401" spans="1:17" x14ac:dyDescent="0.25">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t="s">
        <v>1000</v>
      </c>
    </row>
    <row r="402" spans="1:17" x14ac:dyDescent="0.25">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t="s">
        <v>1003</v>
      </c>
    </row>
    <row r="403" spans="1:17" x14ac:dyDescent="0.25">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t="s">
        <v>1002</v>
      </c>
    </row>
    <row r="404" spans="1:17" x14ac:dyDescent="0.25">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t="s">
        <v>997</v>
      </c>
    </row>
    <row r="405" spans="1:17" x14ac:dyDescent="0.25">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t="s">
        <v>997</v>
      </c>
    </row>
    <row r="406" spans="1:17" x14ac:dyDescent="0.25">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t="s">
        <v>1002</v>
      </c>
    </row>
    <row r="407" spans="1:17" x14ac:dyDescent="0.25">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t="s">
        <v>998</v>
      </c>
    </row>
    <row r="408" spans="1:17" x14ac:dyDescent="0.25">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t="s">
        <v>1002</v>
      </c>
    </row>
    <row r="409" spans="1:17" x14ac:dyDescent="0.25">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t="s">
        <v>1002</v>
      </c>
    </row>
    <row r="410" spans="1:17" x14ac:dyDescent="0.25">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t="s">
        <v>998</v>
      </c>
    </row>
    <row r="411" spans="1:17" x14ac:dyDescent="0.25">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t="s">
        <v>1001</v>
      </c>
    </row>
    <row r="412" spans="1:17" x14ac:dyDescent="0.25">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t="s">
        <v>1002</v>
      </c>
    </row>
    <row r="413" spans="1:17" x14ac:dyDescent="0.25">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t="s">
        <v>1000</v>
      </c>
    </row>
    <row r="414" spans="1:17" x14ac:dyDescent="0.25">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t="s">
        <v>999</v>
      </c>
    </row>
    <row r="415" spans="1:17" x14ac:dyDescent="0.25">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t="s">
        <v>1000</v>
      </c>
    </row>
    <row r="416" spans="1:17" x14ac:dyDescent="0.25">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t="s">
        <v>1003</v>
      </c>
    </row>
    <row r="417" spans="1:17" x14ac:dyDescent="0.25">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t="s">
        <v>1001</v>
      </c>
    </row>
    <row r="418" spans="1:17" x14ac:dyDescent="0.25">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t="s">
        <v>1000</v>
      </c>
    </row>
    <row r="419" spans="1:17" x14ac:dyDescent="0.25">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t="s">
        <v>1000</v>
      </c>
    </row>
    <row r="420" spans="1:17" x14ac:dyDescent="0.25">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t="s">
        <v>1000</v>
      </c>
    </row>
    <row r="421" spans="1:17" x14ac:dyDescent="0.25">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t="s">
        <v>1002</v>
      </c>
    </row>
    <row r="422" spans="1:17" x14ac:dyDescent="0.25">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t="s">
        <v>1002</v>
      </c>
    </row>
    <row r="423" spans="1:17" x14ac:dyDescent="0.25">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t="s">
        <v>998</v>
      </c>
    </row>
    <row r="424" spans="1:17" x14ac:dyDescent="0.25">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t="s">
        <v>1001</v>
      </c>
    </row>
    <row r="425" spans="1:17" x14ac:dyDescent="0.25">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t="s">
        <v>1000</v>
      </c>
    </row>
    <row r="426" spans="1:17" x14ac:dyDescent="0.25">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t="s">
        <v>997</v>
      </c>
    </row>
    <row r="427" spans="1:17" x14ac:dyDescent="0.25">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t="s">
        <v>1002</v>
      </c>
    </row>
    <row r="428" spans="1:17" x14ac:dyDescent="0.25">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t="s">
        <v>1002</v>
      </c>
    </row>
    <row r="429" spans="1:17" x14ac:dyDescent="0.25">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t="s">
        <v>999</v>
      </c>
    </row>
    <row r="430" spans="1:17" x14ac:dyDescent="0.25">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t="s">
        <v>1002</v>
      </c>
    </row>
    <row r="431" spans="1:17" x14ac:dyDescent="0.25">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t="s">
        <v>1003</v>
      </c>
    </row>
    <row r="432" spans="1:17" x14ac:dyDescent="0.25">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t="s">
        <v>1000</v>
      </c>
    </row>
    <row r="433" spans="1:17" x14ac:dyDescent="0.25">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t="s">
        <v>1002</v>
      </c>
    </row>
    <row r="434" spans="1:17" x14ac:dyDescent="0.25">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t="s">
        <v>1000</v>
      </c>
    </row>
    <row r="435" spans="1:17" x14ac:dyDescent="0.25">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t="s">
        <v>1002</v>
      </c>
    </row>
    <row r="436" spans="1:17" x14ac:dyDescent="0.25">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t="s">
        <v>1003</v>
      </c>
    </row>
    <row r="437" spans="1:17" x14ac:dyDescent="0.25">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t="s">
        <v>997</v>
      </c>
    </row>
    <row r="438" spans="1:17" x14ac:dyDescent="0.25">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t="s">
        <v>1001</v>
      </c>
    </row>
    <row r="439" spans="1:17" x14ac:dyDescent="0.25">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t="s">
        <v>998</v>
      </c>
    </row>
    <row r="440" spans="1:17" x14ac:dyDescent="0.25">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t="s">
        <v>1001</v>
      </c>
    </row>
    <row r="441" spans="1:17" x14ac:dyDescent="0.25">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t="s">
        <v>1001</v>
      </c>
    </row>
    <row r="442" spans="1:17" x14ac:dyDescent="0.25">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t="s">
        <v>1001</v>
      </c>
    </row>
    <row r="443" spans="1:17" x14ac:dyDescent="0.25">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t="s">
        <v>1002</v>
      </c>
    </row>
    <row r="444" spans="1:17" x14ac:dyDescent="0.25">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t="s">
        <v>1000</v>
      </c>
    </row>
    <row r="445" spans="1:17" x14ac:dyDescent="0.25">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t="s">
        <v>1002</v>
      </c>
    </row>
    <row r="446" spans="1:17" x14ac:dyDescent="0.25">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t="s">
        <v>1000</v>
      </c>
    </row>
    <row r="447" spans="1:17" x14ac:dyDescent="0.25">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t="s">
        <v>1000</v>
      </c>
    </row>
    <row r="448" spans="1:17" x14ac:dyDescent="0.25">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t="s">
        <v>999</v>
      </c>
    </row>
    <row r="449" spans="1:17" x14ac:dyDescent="0.25">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t="s">
        <v>1002</v>
      </c>
    </row>
    <row r="450" spans="1:17" x14ac:dyDescent="0.25">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t="s">
        <v>999</v>
      </c>
    </row>
    <row r="451" spans="1:17" x14ac:dyDescent="0.25">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t="s">
        <v>1000</v>
      </c>
    </row>
    <row r="452" spans="1:17" x14ac:dyDescent="0.25">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t="s">
        <v>1002</v>
      </c>
    </row>
    <row r="453" spans="1:17" x14ac:dyDescent="0.25">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t="s">
        <v>1002</v>
      </c>
    </row>
    <row r="454" spans="1:17" x14ac:dyDescent="0.25">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t="s">
        <v>1001</v>
      </c>
    </row>
    <row r="455" spans="1:17" x14ac:dyDescent="0.25">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t="s">
        <v>1000</v>
      </c>
    </row>
    <row r="456" spans="1:17" x14ac:dyDescent="0.25">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t="s">
        <v>998</v>
      </c>
    </row>
    <row r="457" spans="1:17" x14ac:dyDescent="0.25">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t="s">
        <v>1000</v>
      </c>
    </row>
    <row r="458" spans="1:17" x14ac:dyDescent="0.25">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t="s">
        <v>1001</v>
      </c>
    </row>
    <row r="459" spans="1:17" x14ac:dyDescent="0.25">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t="s">
        <v>1001</v>
      </c>
    </row>
    <row r="460" spans="1:17" x14ac:dyDescent="0.25">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t="s">
        <v>1002</v>
      </c>
    </row>
    <row r="461" spans="1:17" x14ac:dyDescent="0.25">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t="s">
        <v>999</v>
      </c>
    </row>
    <row r="462" spans="1:17" x14ac:dyDescent="0.25">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t="s">
        <v>1000</v>
      </c>
    </row>
    <row r="463" spans="1:17" x14ac:dyDescent="0.25">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t="s">
        <v>1002</v>
      </c>
    </row>
    <row r="464" spans="1:17" x14ac:dyDescent="0.25">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t="s">
        <v>1000</v>
      </c>
    </row>
    <row r="465" spans="1:17" x14ac:dyDescent="0.25">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t="s">
        <v>999</v>
      </c>
    </row>
    <row r="466" spans="1:17" x14ac:dyDescent="0.25">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t="s">
        <v>998</v>
      </c>
    </row>
    <row r="467" spans="1:17" x14ac:dyDescent="0.25">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t="s">
        <v>999</v>
      </c>
    </row>
    <row r="468" spans="1:17" x14ac:dyDescent="0.25">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t="s">
        <v>1001</v>
      </c>
    </row>
    <row r="469" spans="1:17" x14ac:dyDescent="0.25">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t="s">
        <v>1002</v>
      </c>
    </row>
    <row r="470" spans="1:17" x14ac:dyDescent="0.25">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t="s">
        <v>1002</v>
      </c>
    </row>
    <row r="471" spans="1:17" x14ac:dyDescent="0.25">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t="s">
        <v>1001</v>
      </c>
    </row>
    <row r="472" spans="1:17" x14ac:dyDescent="0.25">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t="s">
        <v>998</v>
      </c>
    </row>
    <row r="473" spans="1:17" x14ac:dyDescent="0.25">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t="s">
        <v>1002</v>
      </c>
    </row>
    <row r="474" spans="1:17" x14ac:dyDescent="0.25">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t="s">
        <v>998</v>
      </c>
    </row>
    <row r="475" spans="1:17" x14ac:dyDescent="0.25">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t="s">
        <v>1002</v>
      </c>
    </row>
    <row r="476" spans="1:17" x14ac:dyDescent="0.25">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t="s">
        <v>1002</v>
      </c>
    </row>
    <row r="477" spans="1:17" x14ac:dyDescent="0.25">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t="s">
        <v>1001</v>
      </c>
    </row>
    <row r="478" spans="1:17" x14ac:dyDescent="0.25">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t="s">
        <v>1002</v>
      </c>
    </row>
    <row r="479" spans="1:17" x14ac:dyDescent="0.25">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t="s">
        <v>999</v>
      </c>
    </row>
    <row r="480" spans="1:17" x14ac:dyDescent="0.25">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t="s">
        <v>998</v>
      </c>
    </row>
    <row r="481" spans="1:17" x14ac:dyDescent="0.25">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t="s">
        <v>1003</v>
      </c>
    </row>
    <row r="482" spans="1:17" x14ac:dyDescent="0.25">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t="s">
        <v>999</v>
      </c>
    </row>
    <row r="483" spans="1:17" x14ac:dyDescent="0.25">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t="s">
        <v>997</v>
      </c>
    </row>
    <row r="484" spans="1:17" x14ac:dyDescent="0.25">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t="s">
        <v>1001</v>
      </c>
    </row>
    <row r="485" spans="1:17" x14ac:dyDescent="0.25">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t="s">
        <v>999</v>
      </c>
    </row>
    <row r="486" spans="1:17" x14ac:dyDescent="0.25">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t="s">
        <v>1003</v>
      </c>
    </row>
    <row r="487" spans="1:17" x14ac:dyDescent="0.25">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t="s">
        <v>1002</v>
      </c>
    </row>
    <row r="488" spans="1:17" x14ac:dyDescent="0.25">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t="s">
        <v>1001</v>
      </c>
    </row>
    <row r="489" spans="1:17" x14ac:dyDescent="0.25">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t="s">
        <v>1002</v>
      </c>
    </row>
    <row r="490" spans="1:17" x14ac:dyDescent="0.25">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t="s">
        <v>1002</v>
      </c>
    </row>
    <row r="491" spans="1:17" x14ac:dyDescent="0.25">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t="s">
        <v>1000</v>
      </c>
    </row>
    <row r="492" spans="1:17" x14ac:dyDescent="0.25">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t="s">
        <v>1002</v>
      </c>
    </row>
    <row r="493" spans="1:17" x14ac:dyDescent="0.25">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t="s">
        <v>998</v>
      </c>
    </row>
    <row r="494" spans="1:17" x14ac:dyDescent="0.25">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t="s">
        <v>1000</v>
      </c>
    </row>
    <row r="495" spans="1:17" x14ac:dyDescent="0.25">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t="s">
        <v>997</v>
      </c>
    </row>
    <row r="496" spans="1:17" x14ac:dyDescent="0.25">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t="s">
        <v>1002</v>
      </c>
    </row>
    <row r="497" spans="1:17" x14ac:dyDescent="0.25">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t="s">
        <v>1001</v>
      </c>
    </row>
    <row r="498" spans="1:17" x14ac:dyDescent="0.25">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t="s">
        <v>1002</v>
      </c>
    </row>
    <row r="499" spans="1:17" x14ac:dyDescent="0.25">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t="s">
        <v>1001</v>
      </c>
    </row>
    <row r="500" spans="1:17" x14ac:dyDescent="0.25">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t="s">
        <v>999</v>
      </c>
    </row>
    <row r="501" spans="1:17" x14ac:dyDescent="0.25">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t="s">
        <v>1002</v>
      </c>
    </row>
    <row r="502" spans="1:17" x14ac:dyDescent="0.25">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t="s">
        <v>1002</v>
      </c>
    </row>
    <row r="503" spans="1:17" x14ac:dyDescent="0.25">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t="s">
        <v>997</v>
      </c>
    </row>
    <row r="504" spans="1:17" x14ac:dyDescent="0.25">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t="s">
        <v>1002</v>
      </c>
    </row>
    <row r="505" spans="1:17" x14ac:dyDescent="0.25">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t="s">
        <v>1002</v>
      </c>
    </row>
    <row r="506" spans="1:17" x14ac:dyDescent="0.25">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t="s">
        <v>1000</v>
      </c>
    </row>
    <row r="507" spans="1:17" x14ac:dyDescent="0.25">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t="s">
        <v>1002</v>
      </c>
    </row>
    <row r="508" spans="1:17" x14ac:dyDescent="0.25">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t="s">
        <v>1000</v>
      </c>
    </row>
    <row r="509" spans="1:17" x14ac:dyDescent="0.25">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t="s">
        <v>1002</v>
      </c>
    </row>
    <row r="510" spans="1:17" x14ac:dyDescent="0.25">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t="s">
        <v>999</v>
      </c>
    </row>
    <row r="511" spans="1:17" x14ac:dyDescent="0.25">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t="s">
        <v>1001</v>
      </c>
    </row>
    <row r="512" spans="1:17" x14ac:dyDescent="0.25">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t="s">
        <v>999</v>
      </c>
    </row>
    <row r="513" spans="1:17" x14ac:dyDescent="0.25">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t="s">
        <v>997</v>
      </c>
    </row>
    <row r="514" spans="1:17" x14ac:dyDescent="0.25">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t="s">
        <v>999</v>
      </c>
    </row>
    <row r="515" spans="1:17" x14ac:dyDescent="0.25">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t="s">
        <v>1000</v>
      </c>
    </row>
    <row r="516" spans="1:17" x14ac:dyDescent="0.25">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t="s">
        <v>1001</v>
      </c>
    </row>
    <row r="517" spans="1:17" x14ac:dyDescent="0.25">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t="s">
        <v>998</v>
      </c>
    </row>
    <row r="518" spans="1:17" x14ac:dyDescent="0.25">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t="s">
        <v>997</v>
      </c>
    </row>
    <row r="519" spans="1:17" x14ac:dyDescent="0.25">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t="s">
        <v>1000</v>
      </c>
    </row>
    <row r="520" spans="1:17" x14ac:dyDescent="0.25">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t="s">
        <v>998</v>
      </c>
    </row>
    <row r="521" spans="1:17" x14ac:dyDescent="0.25">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t="s">
        <v>1001</v>
      </c>
    </row>
    <row r="522" spans="1:17" x14ac:dyDescent="0.25">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t="s">
        <v>1003</v>
      </c>
    </row>
    <row r="523" spans="1:17" x14ac:dyDescent="0.25">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t="s">
        <v>1002</v>
      </c>
    </row>
    <row r="524" spans="1:17" x14ac:dyDescent="0.25">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t="s">
        <v>1002</v>
      </c>
    </row>
    <row r="525" spans="1:17" x14ac:dyDescent="0.25">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t="s">
        <v>1000</v>
      </c>
    </row>
    <row r="526" spans="1:17" x14ac:dyDescent="0.25">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t="s">
        <v>997</v>
      </c>
    </row>
    <row r="527" spans="1:17" x14ac:dyDescent="0.25">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t="s">
        <v>1001</v>
      </c>
    </row>
    <row r="528" spans="1:17" x14ac:dyDescent="0.25">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t="s">
        <v>1002</v>
      </c>
    </row>
    <row r="529" spans="1:17" x14ac:dyDescent="0.25">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t="s">
        <v>1001</v>
      </c>
    </row>
    <row r="530" spans="1:17" x14ac:dyDescent="0.25">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t="s">
        <v>1001</v>
      </c>
    </row>
    <row r="531" spans="1:17" x14ac:dyDescent="0.25">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t="s">
        <v>1001</v>
      </c>
    </row>
    <row r="532" spans="1:17" x14ac:dyDescent="0.25">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t="s">
        <v>1002</v>
      </c>
    </row>
    <row r="533" spans="1:17" x14ac:dyDescent="0.25">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t="s">
        <v>997</v>
      </c>
    </row>
    <row r="534" spans="1:17" x14ac:dyDescent="0.25">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t="s">
        <v>1002</v>
      </c>
    </row>
    <row r="535" spans="1:17" x14ac:dyDescent="0.25">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t="s">
        <v>999</v>
      </c>
    </row>
    <row r="536" spans="1:17" x14ac:dyDescent="0.25">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t="s">
        <v>998</v>
      </c>
    </row>
    <row r="537" spans="1:17" x14ac:dyDescent="0.25">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t="s">
        <v>999</v>
      </c>
    </row>
    <row r="538" spans="1:17" x14ac:dyDescent="0.25">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t="s">
        <v>997</v>
      </c>
    </row>
    <row r="539" spans="1:17" x14ac:dyDescent="0.25">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t="s">
        <v>1002</v>
      </c>
    </row>
    <row r="540" spans="1:17" x14ac:dyDescent="0.25">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t="s">
        <v>1001</v>
      </c>
    </row>
    <row r="541" spans="1:17" x14ac:dyDescent="0.25">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t="s">
        <v>1003</v>
      </c>
    </row>
    <row r="542" spans="1:17" x14ac:dyDescent="0.25">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t="s">
        <v>1002</v>
      </c>
    </row>
    <row r="543" spans="1:17" x14ac:dyDescent="0.25">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t="s">
        <v>998</v>
      </c>
    </row>
    <row r="544" spans="1:17" x14ac:dyDescent="0.25">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t="s">
        <v>998</v>
      </c>
    </row>
    <row r="545" spans="1:17" x14ac:dyDescent="0.25">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t="s">
        <v>1003</v>
      </c>
    </row>
    <row r="546" spans="1:17" x14ac:dyDescent="0.25">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t="s">
        <v>1000</v>
      </c>
    </row>
    <row r="547" spans="1:17" x14ac:dyDescent="0.25">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t="s">
        <v>997</v>
      </c>
    </row>
    <row r="548" spans="1:17" x14ac:dyDescent="0.25">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t="s">
        <v>1002</v>
      </c>
    </row>
    <row r="549" spans="1:17" x14ac:dyDescent="0.25">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t="s">
        <v>1002</v>
      </c>
    </row>
    <row r="550" spans="1:17" x14ac:dyDescent="0.25">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t="s">
        <v>1002</v>
      </c>
    </row>
    <row r="551" spans="1:17" x14ac:dyDescent="0.25">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t="s">
        <v>1000</v>
      </c>
    </row>
    <row r="552" spans="1:17" x14ac:dyDescent="0.25">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t="s">
        <v>998</v>
      </c>
    </row>
    <row r="553" spans="1:17" x14ac:dyDescent="0.25">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t="s">
        <v>999</v>
      </c>
    </row>
    <row r="554" spans="1:17" x14ac:dyDescent="0.25">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t="s">
        <v>1003</v>
      </c>
    </row>
    <row r="555" spans="1:17" x14ac:dyDescent="0.25">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t="s">
        <v>998</v>
      </c>
    </row>
    <row r="556" spans="1:17" x14ac:dyDescent="0.25">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t="s">
        <v>1001</v>
      </c>
    </row>
    <row r="557" spans="1:17" x14ac:dyDescent="0.25">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t="s">
        <v>1001</v>
      </c>
    </row>
    <row r="558" spans="1:17" x14ac:dyDescent="0.25">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t="s">
        <v>999</v>
      </c>
    </row>
    <row r="559" spans="1:17" x14ac:dyDescent="0.25">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t="s">
        <v>1002</v>
      </c>
    </row>
    <row r="560" spans="1:17" x14ac:dyDescent="0.25">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t="s">
        <v>1001</v>
      </c>
    </row>
    <row r="561" spans="1:17" x14ac:dyDescent="0.25">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t="s">
        <v>998</v>
      </c>
    </row>
    <row r="562" spans="1:17" x14ac:dyDescent="0.25">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t="s">
        <v>999</v>
      </c>
    </row>
    <row r="563" spans="1:17" x14ac:dyDescent="0.25">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t="s">
        <v>1002</v>
      </c>
    </row>
    <row r="564" spans="1:17" x14ac:dyDescent="0.25">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t="s">
        <v>1002</v>
      </c>
    </row>
    <row r="565" spans="1:17" x14ac:dyDescent="0.25">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t="s">
        <v>1001</v>
      </c>
    </row>
    <row r="566" spans="1:17" x14ac:dyDescent="0.25">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t="s">
        <v>1001</v>
      </c>
    </row>
    <row r="567" spans="1:17" x14ac:dyDescent="0.25">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t="s">
        <v>998</v>
      </c>
    </row>
    <row r="568" spans="1:17" x14ac:dyDescent="0.25">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t="s">
        <v>1000</v>
      </c>
    </row>
    <row r="569" spans="1:17" x14ac:dyDescent="0.25">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t="s">
        <v>998</v>
      </c>
    </row>
    <row r="570" spans="1:17" x14ac:dyDescent="0.25">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t="s">
        <v>998</v>
      </c>
    </row>
    <row r="571" spans="1:17" x14ac:dyDescent="0.25">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t="s">
        <v>997</v>
      </c>
    </row>
    <row r="572" spans="1:17" x14ac:dyDescent="0.25">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t="s">
        <v>1002</v>
      </c>
    </row>
    <row r="573" spans="1:17" x14ac:dyDescent="0.25">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t="s">
        <v>998</v>
      </c>
    </row>
    <row r="574" spans="1:17" x14ac:dyDescent="0.25">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t="s">
        <v>997</v>
      </c>
    </row>
    <row r="575" spans="1:17" x14ac:dyDescent="0.25">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t="s">
        <v>998</v>
      </c>
    </row>
    <row r="576" spans="1:17" x14ac:dyDescent="0.25">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t="s">
        <v>1003</v>
      </c>
    </row>
    <row r="577" spans="1:17" x14ac:dyDescent="0.25">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t="s">
        <v>1002</v>
      </c>
    </row>
    <row r="578" spans="1:17" x14ac:dyDescent="0.25">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t="s">
        <v>997</v>
      </c>
    </row>
    <row r="579" spans="1:17" x14ac:dyDescent="0.25">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t="s">
        <v>1000</v>
      </c>
    </row>
    <row r="580" spans="1:17" x14ac:dyDescent="0.25">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t="s">
        <v>1002</v>
      </c>
    </row>
    <row r="581" spans="1:17" x14ac:dyDescent="0.25">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t="s">
        <v>999</v>
      </c>
    </row>
    <row r="582" spans="1:17" x14ac:dyDescent="0.25">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t="s">
        <v>1003</v>
      </c>
    </row>
    <row r="583" spans="1:17" x14ac:dyDescent="0.25">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t="s">
        <v>997</v>
      </c>
    </row>
    <row r="584" spans="1:17" x14ac:dyDescent="0.25">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t="s">
        <v>999</v>
      </c>
    </row>
    <row r="585" spans="1:17" x14ac:dyDescent="0.25">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t="s">
        <v>1002</v>
      </c>
    </row>
    <row r="586" spans="1:17" x14ac:dyDescent="0.25">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t="s">
        <v>1003</v>
      </c>
    </row>
    <row r="587" spans="1:17" x14ac:dyDescent="0.25">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t="s">
        <v>998</v>
      </c>
    </row>
    <row r="588" spans="1:17" x14ac:dyDescent="0.25">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t="s">
        <v>1003</v>
      </c>
    </row>
    <row r="589" spans="1:17" x14ac:dyDescent="0.25">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t="s">
        <v>1003</v>
      </c>
    </row>
    <row r="590" spans="1:17" x14ac:dyDescent="0.25">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t="s">
        <v>997</v>
      </c>
    </row>
    <row r="591" spans="1:17" x14ac:dyDescent="0.25">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t="s">
        <v>998</v>
      </c>
    </row>
    <row r="592" spans="1:17" x14ac:dyDescent="0.25">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t="s">
        <v>997</v>
      </c>
    </row>
    <row r="593" spans="1:17" x14ac:dyDescent="0.25">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t="s">
        <v>997</v>
      </c>
    </row>
    <row r="594" spans="1:17" x14ac:dyDescent="0.25">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t="s">
        <v>1003</v>
      </c>
    </row>
    <row r="595" spans="1:17" x14ac:dyDescent="0.25">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t="s">
        <v>998</v>
      </c>
    </row>
    <row r="596" spans="1:17" x14ac:dyDescent="0.25">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t="s">
        <v>1003</v>
      </c>
    </row>
    <row r="597" spans="1:17" x14ac:dyDescent="0.25">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t="s">
        <v>1003</v>
      </c>
    </row>
    <row r="598" spans="1:17" x14ac:dyDescent="0.25">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t="s">
        <v>999</v>
      </c>
    </row>
    <row r="599" spans="1:17" x14ac:dyDescent="0.25">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t="s">
        <v>1001</v>
      </c>
    </row>
    <row r="600" spans="1:17" x14ac:dyDescent="0.25">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t="s">
        <v>1001</v>
      </c>
    </row>
    <row r="601" spans="1:17" x14ac:dyDescent="0.25">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t="s">
        <v>997</v>
      </c>
    </row>
    <row r="602" spans="1:17" x14ac:dyDescent="0.25">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t="s">
        <v>997</v>
      </c>
    </row>
    <row r="603" spans="1:17" x14ac:dyDescent="0.25">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t="s">
        <v>1003</v>
      </c>
    </row>
    <row r="604" spans="1:17" x14ac:dyDescent="0.25">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t="s">
        <v>999</v>
      </c>
    </row>
    <row r="605" spans="1:17" x14ac:dyDescent="0.25">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t="s">
        <v>999</v>
      </c>
    </row>
    <row r="606" spans="1:17" x14ac:dyDescent="0.25">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t="s">
        <v>1003</v>
      </c>
    </row>
    <row r="607" spans="1:17" x14ac:dyDescent="0.25">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t="s">
        <v>1002</v>
      </c>
    </row>
    <row r="608" spans="1:17" x14ac:dyDescent="0.25">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t="s">
        <v>997</v>
      </c>
    </row>
    <row r="609" spans="1:17" x14ac:dyDescent="0.25">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t="s">
        <v>999</v>
      </c>
    </row>
    <row r="610" spans="1:17" x14ac:dyDescent="0.25">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t="s">
        <v>1003</v>
      </c>
    </row>
    <row r="611" spans="1:17" x14ac:dyDescent="0.25">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t="s">
        <v>1003</v>
      </c>
    </row>
    <row r="612" spans="1:17" x14ac:dyDescent="0.25">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t="s">
        <v>998</v>
      </c>
    </row>
    <row r="613" spans="1:17" x14ac:dyDescent="0.25">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t="s">
        <v>1001</v>
      </c>
    </row>
    <row r="614" spans="1:17" x14ac:dyDescent="0.25">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t="s">
        <v>1001</v>
      </c>
    </row>
    <row r="615" spans="1:17" x14ac:dyDescent="0.25">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t="s">
        <v>1003</v>
      </c>
    </row>
    <row r="616" spans="1:17" x14ac:dyDescent="0.25">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t="s">
        <v>997</v>
      </c>
    </row>
    <row r="617" spans="1:17" x14ac:dyDescent="0.25">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t="s">
        <v>999</v>
      </c>
    </row>
    <row r="618" spans="1:17" x14ac:dyDescent="0.25">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t="s">
        <v>1000</v>
      </c>
    </row>
    <row r="619" spans="1:17" x14ac:dyDescent="0.25">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t="s">
        <v>997</v>
      </c>
    </row>
    <row r="620" spans="1:17" x14ac:dyDescent="0.25">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t="s">
        <v>997</v>
      </c>
    </row>
    <row r="621" spans="1:17" x14ac:dyDescent="0.25">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t="s">
        <v>1001</v>
      </c>
    </row>
    <row r="622" spans="1:17" x14ac:dyDescent="0.25">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t="s">
        <v>998</v>
      </c>
    </row>
    <row r="623" spans="1:17" x14ac:dyDescent="0.25">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t="s">
        <v>1002</v>
      </c>
    </row>
    <row r="624" spans="1:17" x14ac:dyDescent="0.25">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t="s">
        <v>998</v>
      </c>
    </row>
    <row r="625" spans="1:17" x14ac:dyDescent="0.25">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t="s">
        <v>1001</v>
      </c>
    </row>
    <row r="626" spans="1:17" x14ac:dyDescent="0.25">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t="s">
        <v>1000</v>
      </c>
    </row>
    <row r="627" spans="1:17" x14ac:dyDescent="0.25">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t="s">
        <v>1003</v>
      </c>
    </row>
    <row r="628" spans="1:17" x14ac:dyDescent="0.25">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t="s">
        <v>1000</v>
      </c>
    </row>
    <row r="629" spans="1:17" x14ac:dyDescent="0.25">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t="s">
        <v>999</v>
      </c>
    </row>
    <row r="630" spans="1:17" x14ac:dyDescent="0.25">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t="s">
        <v>1003</v>
      </c>
    </row>
    <row r="631" spans="1:17" x14ac:dyDescent="0.25">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t="s">
        <v>997</v>
      </c>
    </row>
    <row r="632" spans="1:17" x14ac:dyDescent="0.25">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t="s">
        <v>1001</v>
      </c>
    </row>
    <row r="633" spans="1:17" x14ac:dyDescent="0.25">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t="s">
        <v>1000</v>
      </c>
    </row>
    <row r="634" spans="1:17" x14ac:dyDescent="0.25">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t="s">
        <v>1003</v>
      </c>
    </row>
    <row r="635" spans="1:17" x14ac:dyDescent="0.25">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t="s">
        <v>1003</v>
      </c>
    </row>
    <row r="636" spans="1:17" x14ac:dyDescent="0.25">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t="s">
        <v>997</v>
      </c>
    </row>
    <row r="637" spans="1:17" x14ac:dyDescent="0.25">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t="s">
        <v>1003</v>
      </c>
    </row>
    <row r="638" spans="1:17" x14ac:dyDescent="0.25">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t="s">
        <v>999</v>
      </c>
    </row>
    <row r="639" spans="1:17" x14ac:dyDescent="0.25">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t="s">
        <v>998</v>
      </c>
    </row>
    <row r="640" spans="1:17" x14ac:dyDescent="0.25">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t="s">
        <v>1000</v>
      </c>
    </row>
    <row r="641" spans="1:17" x14ac:dyDescent="0.25">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t="s">
        <v>998</v>
      </c>
    </row>
    <row r="642" spans="1:17" x14ac:dyDescent="0.25">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t="s">
        <v>998</v>
      </c>
    </row>
    <row r="643" spans="1:17" x14ac:dyDescent="0.25">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t="s">
        <v>1003</v>
      </c>
    </row>
    <row r="644" spans="1:17" x14ac:dyDescent="0.25">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t="s">
        <v>1000</v>
      </c>
    </row>
    <row r="645" spans="1:17" x14ac:dyDescent="0.25">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t="s">
        <v>1003</v>
      </c>
    </row>
    <row r="646" spans="1:17" x14ac:dyDescent="0.25">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t="s">
        <v>997</v>
      </c>
    </row>
    <row r="647" spans="1:17" x14ac:dyDescent="0.25">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t="s">
        <v>1002</v>
      </c>
    </row>
    <row r="648" spans="1:17" x14ac:dyDescent="0.25">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t="s">
        <v>997</v>
      </c>
    </row>
    <row r="649" spans="1:17" x14ac:dyDescent="0.25">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t="s">
        <v>1003</v>
      </c>
    </row>
    <row r="650" spans="1:17" x14ac:dyDescent="0.25">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t="s">
        <v>1001</v>
      </c>
    </row>
    <row r="651" spans="1:17" x14ac:dyDescent="0.25">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t="s">
        <v>997</v>
      </c>
    </row>
    <row r="652" spans="1:17" x14ac:dyDescent="0.25">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t="s">
        <v>1002</v>
      </c>
    </row>
    <row r="653" spans="1:17" x14ac:dyDescent="0.25">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t="s">
        <v>999</v>
      </c>
    </row>
    <row r="654" spans="1:17" x14ac:dyDescent="0.25">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t="s">
        <v>998</v>
      </c>
    </row>
    <row r="655" spans="1:17" x14ac:dyDescent="0.25">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t="s">
        <v>1003</v>
      </c>
    </row>
    <row r="656" spans="1:17" x14ac:dyDescent="0.25">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t="s">
        <v>1002</v>
      </c>
    </row>
    <row r="657" spans="1:17" x14ac:dyDescent="0.25">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t="s">
        <v>1001</v>
      </c>
    </row>
    <row r="658" spans="1:17" x14ac:dyDescent="0.25">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t="s">
        <v>1003</v>
      </c>
    </row>
    <row r="659" spans="1:17" x14ac:dyDescent="0.25">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t="s">
        <v>999</v>
      </c>
    </row>
    <row r="660" spans="1:17" x14ac:dyDescent="0.25">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t="s">
        <v>1003</v>
      </c>
    </row>
    <row r="661" spans="1:17" x14ac:dyDescent="0.25">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t="s">
        <v>1003</v>
      </c>
    </row>
    <row r="662" spans="1:17" x14ac:dyDescent="0.25">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t="s">
        <v>1003</v>
      </c>
    </row>
    <row r="663" spans="1:17" x14ac:dyDescent="0.25">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t="s">
        <v>999</v>
      </c>
    </row>
    <row r="664" spans="1:17" x14ac:dyDescent="0.25">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t="s">
        <v>998</v>
      </c>
    </row>
    <row r="665" spans="1:17" x14ac:dyDescent="0.25">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t="s">
        <v>1002</v>
      </c>
    </row>
    <row r="666" spans="1:17" x14ac:dyDescent="0.25">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t="s">
        <v>997</v>
      </c>
    </row>
    <row r="667" spans="1:17" x14ac:dyDescent="0.25">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t="s">
        <v>998</v>
      </c>
    </row>
    <row r="668" spans="1:17" x14ac:dyDescent="0.25">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t="s">
        <v>999</v>
      </c>
    </row>
    <row r="669" spans="1:17" x14ac:dyDescent="0.25">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t="s">
        <v>1003</v>
      </c>
    </row>
    <row r="670" spans="1:17" x14ac:dyDescent="0.25">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t="s">
        <v>1000</v>
      </c>
    </row>
    <row r="671" spans="1:17" x14ac:dyDescent="0.25">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t="s">
        <v>1001</v>
      </c>
    </row>
    <row r="672" spans="1:17" x14ac:dyDescent="0.25">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t="s">
        <v>999</v>
      </c>
    </row>
    <row r="673" spans="1:17" x14ac:dyDescent="0.25">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t="s">
        <v>999</v>
      </c>
    </row>
    <row r="674" spans="1:17" x14ac:dyDescent="0.25">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t="s">
        <v>1003</v>
      </c>
    </row>
    <row r="675" spans="1:17" x14ac:dyDescent="0.25">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t="s">
        <v>1003</v>
      </c>
    </row>
    <row r="676" spans="1:17" x14ac:dyDescent="0.25">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t="s">
        <v>1000</v>
      </c>
    </row>
    <row r="677" spans="1:17" x14ac:dyDescent="0.25">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t="s">
        <v>999</v>
      </c>
    </row>
    <row r="678" spans="1:17" x14ac:dyDescent="0.25">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t="s">
        <v>1003</v>
      </c>
    </row>
    <row r="679" spans="1:17" x14ac:dyDescent="0.25">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t="s">
        <v>1001</v>
      </c>
    </row>
    <row r="680" spans="1:17" x14ac:dyDescent="0.25">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t="s">
        <v>998</v>
      </c>
    </row>
    <row r="681" spans="1:17" x14ac:dyDescent="0.25">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t="s">
        <v>1002</v>
      </c>
    </row>
    <row r="682" spans="1:17" x14ac:dyDescent="0.25">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t="s">
        <v>1002</v>
      </c>
    </row>
    <row r="683" spans="1:17" x14ac:dyDescent="0.25">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t="s">
        <v>999</v>
      </c>
    </row>
    <row r="684" spans="1:17" x14ac:dyDescent="0.25">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t="s">
        <v>1000</v>
      </c>
    </row>
    <row r="685" spans="1:17" x14ac:dyDescent="0.25">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t="s">
        <v>1001</v>
      </c>
    </row>
    <row r="686" spans="1:17" x14ac:dyDescent="0.25">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t="s">
        <v>1000</v>
      </c>
    </row>
    <row r="687" spans="1:17" x14ac:dyDescent="0.25">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t="s">
        <v>1003</v>
      </c>
    </row>
    <row r="688" spans="1:17" x14ac:dyDescent="0.25">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t="s">
        <v>1001</v>
      </c>
    </row>
    <row r="689" spans="1:17" x14ac:dyDescent="0.25">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t="s">
        <v>998</v>
      </c>
    </row>
    <row r="690" spans="1:17" x14ac:dyDescent="0.25">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t="s">
        <v>1002</v>
      </c>
    </row>
    <row r="691" spans="1:17" x14ac:dyDescent="0.25">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t="s">
        <v>999</v>
      </c>
    </row>
    <row r="692" spans="1:17" x14ac:dyDescent="0.25">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t="s">
        <v>998</v>
      </c>
    </row>
    <row r="693" spans="1:17" x14ac:dyDescent="0.25">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t="s">
        <v>999</v>
      </c>
    </row>
    <row r="694" spans="1:17" x14ac:dyDescent="0.25">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t="s">
        <v>999</v>
      </c>
    </row>
    <row r="695" spans="1:17" x14ac:dyDescent="0.25">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t="s">
        <v>1001</v>
      </c>
    </row>
    <row r="696" spans="1:17" x14ac:dyDescent="0.25">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t="s">
        <v>1000</v>
      </c>
    </row>
    <row r="697" spans="1:17" x14ac:dyDescent="0.25">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t="s">
        <v>1002</v>
      </c>
    </row>
    <row r="698" spans="1:17" x14ac:dyDescent="0.25">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t="s">
        <v>999</v>
      </c>
    </row>
    <row r="699" spans="1:17" x14ac:dyDescent="0.25">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t="s">
        <v>1002</v>
      </c>
    </row>
    <row r="700" spans="1:17" x14ac:dyDescent="0.25">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t="s">
        <v>1001</v>
      </c>
    </row>
    <row r="701" spans="1:17" x14ac:dyDescent="0.25">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t="s">
        <v>997</v>
      </c>
    </row>
    <row r="702" spans="1:17" x14ac:dyDescent="0.25">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t="s">
        <v>1000</v>
      </c>
    </row>
    <row r="703" spans="1:17" x14ac:dyDescent="0.25">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t="s">
        <v>1001</v>
      </c>
    </row>
    <row r="704" spans="1:17" x14ac:dyDescent="0.25">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t="s">
        <v>998</v>
      </c>
    </row>
    <row r="705" spans="1:17" x14ac:dyDescent="0.25">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t="s">
        <v>1000</v>
      </c>
    </row>
    <row r="706" spans="1:17" x14ac:dyDescent="0.25">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t="s">
        <v>1000</v>
      </c>
    </row>
    <row r="707" spans="1:17" x14ac:dyDescent="0.25">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t="s">
        <v>999</v>
      </c>
    </row>
    <row r="708" spans="1:17" x14ac:dyDescent="0.25">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t="s">
        <v>998</v>
      </c>
    </row>
    <row r="709" spans="1:17" x14ac:dyDescent="0.25">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t="s">
        <v>997</v>
      </c>
    </row>
    <row r="710" spans="1:17" x14ac:dyDescent="0.25">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t="s">
        <v>999</v>
      </c>
    </row>
    <row r="711" spans="1:17" x14ac:dyDescent="0.25">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t="s">
        <v>997</v>
      </c>
    </row>
    <row r="712" spans="1:17" x14ac:dyDescent="0.25">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t="s">
        <v>1002</v>
      </c>
    </row>
    <row r="713" spans="1:17" x14ac:dyDescent="0.25">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t="s">
        <v>999</v>
      </c>
    </row>
    <row r="714" spans="1:17" x14ac:dyDescent="0.25">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t="s">
        <v>999</v>
      </c>
    </row>
    <row r="715" spans="1:17" x14ac:dyDescent="0.25">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t="s">
        <v>1003</v>
      </c>
    </row>
    <row r="716" spans="1:17" x14ac:dyDescent="0.25">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t="s">
        <v>997</v>
      </c>
    </row>
    <row r="717" spans="1:17" x14ac:dyDescent="0.25">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t="s">
        <v>998</v>
      </c>
    </row>
    <row r="718" spans="1:17" x14ac:dyDescent="0.25">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t="s">
        <v>1002</v>
      </c>
    </row>
    <row r="719" spans="1:17" x14ac:dyDescent="0.25">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t="s">
        <v>998</v>
      </c>
    </row>
    <row r="720" spans="1:17" x14ac:dyDescent="0.25">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t="s">
        <v>998</v>
      </c>
    </row>
    <row r="721" spans="1:17" x14ac:dyDescent="0.25">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t="s">
        <v>999</v>
      </c>
    </row>
    <row r="722" spans="1:17" x14ac:dyDescent="0.25">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t="s">
        <v>998</v>
      </c>
    </row>
    <row r="723" spans="1:17" x14ac:dyDescent="0.25">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t="s">
        <v>1003</v>
      </c>
    </row>
    <row r="724" spans="1:17" x14ac:dyDescent="0.25">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t="s">
        <v>1002</v>
      </c>
    </row>
    <row r="725" spans="1:17" x14ac:dyDescent="0.25">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t="s">
        <v>1002</v>
      </c>
    </row>
    <row r="726" spans="1:17" x14ac:dyDescent="0.25">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t="s">
        <v>1002</v>
      </c>
    </row>
    <row r="727" spans="1:17" x14ac:dyDescent="0.25">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t="s">
        <v>1000</v>
      </c>
    </row>
    <row r="728" spans="1:17" x14ac:dyDescent="0.25">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t="s">
        <v>997</v>
      </c>
    </row>
    <row r="729" spans="1:17" x14ac:dyDescent="0.25">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t="s">
        <v>1000</v>
      </c>
    </row>
    <row r="730" spans="1:17" x14ac:dyDescent="0.25">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t="s">
        <v>1000</v>
      </c>
    </row>
    <row r="731" spans="1:17" x14ac:dyDescent="0.25">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t="s">
        <v>999</v>
      </c>
    </row>
    <row r="732" spans="1:17" x14ac:dyDescent="0.25">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t="s">
        <v>999</v>
      </c>
    </row>
    <row r="733" spans="1:17" x14ac:dyDescent="0.25">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t="s">
        <v>1002</v>
      </c>
    </row>
    <row r="734" spans="1:17" x14ac:dyDescent="0.25">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t="s">
        <v>1003</v>
      </c>
    </row>
    <row r="735" spans="1:17" x14ac:dyDescent="0.25">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t="s">
        <v>999</v>
      </c>
    </row>
    <row r="736" spans="1:17" x14ac:dyDescent="0.25">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t="s">
        <v>997</v>
      </c>
    </row>
    <row r="737" spans="1:17" x14ac:dyDescent="0.25">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t="s">
        <v>1001</v>
      </c>
    </row>
    <row r="738" spans="1:17" x14ac:dyDescent="0.25">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t="s">
        <v>997</v>
      </c>
    </row>
    <row r="739" spans="1:17" x14ac:dyDescent="0.25">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t="s">
        <v>1000</v>
      </c>
    </row>
    <row r="740" spans="1:17" x14ac:dyDescent="0.25">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t="s">
        <v>997</v>
      </c>
    </row>
    <row r="741" spans="1:17" x14ac:dyDescent="0.25">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t="s">
        <v>997</v>
      </c>
    </row>
    <row r="742" spans="1:17" x14ac:dyDescent="0.25">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t="s">
        <v>1002</v>
      </c>
    </row>
    <row r="743" spans="1:17" x14ac:dyDescent="0.25">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t="s">
        <v>997</v>
      </c>
    </row>
    <row r="744" spans="1:17" x14ac:dyDescent="0.25">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t="s">
        <v>1002</v>
      </c>
    </row>
    <row r="745" spans="1:17" x14ac:dyDescent="0.25">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t="s">
        <v>1001</v>
      </c>
    </row>
    <row r="746" spans="1:17" x14ac:dyDescent="0.25">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t="s">
        <v>1000</v>
      </c>
    </row>
    <row r="747" spans="1:17" x14ac:dyDescent="0.25">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t="s">
        <v>1002</v>
      </c>
    </row>
    <row r="748" spans="1:17" x14ac:dyDescent="0.25">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t="s">
        <v>1003</v>
      </c>
    </row>
    <row r="749" spans="1:17" x14ac:dyDescent="0.25">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t="s">
        <v>1000</v>
      </c>
    </row>
    <row r="750" spans="1:17" x14ac:dyDescent="0.25">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t="s">
        <v>999</v>
      </c>
    </row>
    <row r="751" spans="1:17" x14ac:dyDescent="0.25">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t="s">
        <v>1001</v>
      </c>
    </row>
    <row r="752" spans="1:17" x14ac:dyDescent="0.25">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t="s">
        <v>1000</v>
      </c>
    </row>
    <row r="753" spans="1:17" x14ac:dyDescent="0.25">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t="s">
        <v>1000</v>
      </c>
    </row>
    <row r="754" spans="1:17" x14ac:dyDescent="0.25">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t="s">
        <v>997</v>
      </c>
    </row>
    <row r="755" spans="1:17" x14ac:dyDescent="0.25">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t="s">
        <v>1001</v>
      </c>
    </row>
    <row r="756" spans="1:17" x14ac:dyDescent="0.25">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t="s">
        <v>1003</v>
      </c>
    </row>
    <row r="757" spans="1:17" x14ac:dyDescent="0.25">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t="s">
        <v>998</v>
      </c>
    </row>
    <row r="758" spans="1:17" x14ac:dyDescent="0.25">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t="s">
        <v>1001</v>
      </c>
    </row>
    <row r="759" spans="1:17" x14ac:dyDescent="0.25">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t="s">
        <v>1001</v>
      </c>
    </row>
    <row r="760" spans="1:17" x14ac:dyDescent="0.25">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t="s">
        <v>1001</v>
      </c>
    </row>
    <row r="761" spans="1:17" x14ac:dyDescent="0.25">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t="s">
        <v>1001</v>
      </c>
    </row>
    <row r="762" spans="1:17" x14ac:dyDescent="0.25">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t="s">
        <v>999</v>
      </c>
    </row>
    <row r="763" spans="1:17" x14ac:dyDescent="0.25">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t="s">
        <v>1003</v>
      </c>
    </row>
    <row r="764" spans="1:17" x14ac:dyDescent="0.25">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t="s">
        <v>998</v>
      </c>
    </row>
    <row r="765" spans="1:17" x14ac:dyDescent="0.25">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t="s">
        <v>999</v>
      </c>
    </row>
    <row r="766" spans="1:17" x14ac:dyDescent="0.25">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t="s">
        <v>1001</v>
      </c>
    </row>
    <row r="767" spans="1:17" x14ac:dyDescent="0.25">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t="s">
        <v>1001</v>
      </c>
    </row>
    <row r="768" spans="1:17" x14ac:dyDescent="0.25">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t="s">
        <v>1001</v>
      </c>
    </row>
    <row r="769" spans="1:17" x14ac:dyDescent="0.25">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t="s">
        <v>1001</v>
      </c>
    </row>
    <row r="770" spans="1:17" x14ac:dyDescent="0.25">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t="s">
        <v>997</v>
      </c>
    </row>
    <row r="771" spans="1:17" x14ac:dyDescent="0.25">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t="s">
        <v>999</v>
      </c>
    </row>
    <row r="772" spans="1:17" x14ac:dyDescent="0.25">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t="s">
        <v>1002</v>
      </c>
    </row>
    <row r="773" spans="1:17" x14ac:dyDescent="0.25">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t="s">
        <v>1000</v>
      </c>
    </row>
    <row r="774" spans="1:17" x14ac:dyDescent="0.25">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t="s">
        <v>997</v>
      </c>
    </row>
    <row r="775" spans="1:17" x14ac:dyDescent="0.25">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t="s">
        <v>1002</v>
      </c>
    </row>
    <row r="776" spans="1:17" x14ac:dyDescent="0.25">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t="s">
        <v>999</v>
      </c>
    </row>
    <row r="777" spans="1:17" x14ac:dyDescent="0.25">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t="s">
        <v>1002</v>
      </c>
    </row>
    <row r="778" spans="1:17" x14ac:dyDescent="0.25">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t="s">
        <v>1000</v>
      </c>
    </row>
    <row r="779" spans="1:17" x14ac:dyDescent="0.25">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t="s">
        <v>1003</v>
      </c>
    </row>
    <row r="780" spans="1:17" x14ac:dyDescent="0.25">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t="s">
        <v>1003</v>
      </c>
    </row>
    <row r="781" spans="1:17" x14ac:dyDescent="0.25">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t="s">
        <v>1001</v>
      </c>
    </row>
    <row r="782" spans="1:17" x14ac:dyDescent="0.25">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t="s">
        <v>1000</v>
      </c>
    </row>
    <row r="783" spans="1:17" x14ac:dyDescent="0.25">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t="s">
        <v>1003</v>
      </c>
    </row>
    <row r="784" spans="1:17" x14ac:dyDescent="0.25">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t="s">
        <v>1000</v>
      </c>
    </row>
    <row r="785" spans="1:17" x14ac:dyDescent="0.25">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t="s">
        <v>999</v>
      </c>
    </row>
    <row r="786" spans="1:17" x14ac:dyDescent="0.25">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t="s">
        <v>1001</v>
      </c>
    </row>
    <row r="787" spans="1:17" x14ac:dyDescent="0.25">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t="s">
        <v>1000</v>
      </c>
    </row>
    <row r="788" spans="1:17" x14ac:dyDescent="0.25">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t="s">
        <v>998</v>
      </c>
    </row>
    <row r="789" spans="1:17" x14ac:dyDescent="0.25">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t="s">
        <v>999</v>
      </c>
    </row>
    <row r="790" spans="1:17" x14ac:dyDescent="0.25">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t="s">
        <v>998</v>
      </c>
    </row>
    <row r="791" spans="1:17" x14ac:dyDescent="0.25">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t="s">
        <v>999</v>
      </c>
    </row>
    <row r="792" spans="1:17" x14ac:dyDescent="0.25">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t="s">
        <v>1001</v>
      </c>
    </row>
    <row r="793" spans="1:17" x14ac:dyDescent="0.25">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t="s">
        <v>997</v>
      </c>
    </row>
    <row r="794" spans="1:17" x14ac:dyDescent="0.25">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t="s">
        <v>1002</v>
      </c>
    </row>
    <row r="795" spans="1:17" x14ac:dyDescent="0.25">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t="s">
        <v>999</v>
      </c>
    </row>
    <row r="796" spans="1:17" x14ac:dyDescent="0.25">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t="s">
        <v>999</v>
      </c>
    </row>
    <row r="797" spans="1:17" x14ac:dyDescent="0.25">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t="s">
        <v>1000</v>
      </c>
    </row>
    <row r="798" spans="1:17" x14ac:dyDescent="0.25">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t="s">
        <v>997</v>
      </c>
    </row>
    <row r="799" spans="1:17" x14ac:dyDescent="0.25">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t="s">
        <v>1000</v>
      </c>
    </row>
    <row r="800" spans="1:17" x14ac:dyDescent="0.25">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t="s">
        <v>997</v>
      </c>
    </row>
    <row r="801" spans="1:17" x14ac:dyDescent="0.25">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t="s">
        <v>1000</v>
      </c>
    </row>
    <row r="802" spans="1:17" x14ac:dyDescent="0.25">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t="s">
        <v>999</v>
      </c>
    </row>
    <row r="803" spans="1:17" x14ac:dyDescent="0.25">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t="s">
        <v>1000</v>
      </c>
    </row>
    <row r="804" spans="1:17" x14ac:dyDescent="0.25">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t="s">
        <v>1003</v>
      </c>
    </row>
    <row r="805" spans="1:17" x14ac:dyDescent="0.25">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t="s">
        <v>998</v>
      </c>
    </row>
    <row r="806" spans="1:17" x14ac:dyDescent="0.25">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t="s">
        <v>1000</v>
      </c>
    </row>
    <row r="807" spans="1:17" x14ac:dyDescent="0.25">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t="s">
        <v>998</v>
      </c>
    </row>
    <row r="808" spans="1:17" x14ac:dyDescent="0.25">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t="s">
        <v>1000</v>
      </c>
    </row>
    <row r="809" spans="1:17" x14ac:dyDescent="0.25">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t="s">
        <v>998</v>
      </c>
    </row>
    <row r="810" spans="1:17" x14ac:dyDescent="0.25">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t="s">
        <v>1002</v>
      </c>
    </row>
    <row r="811" spans="1:17" x14ac:dyDescent="0.25">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t="s">
        <v>999</v>
      </c>
    </row>
    <row r="812" spans="1:17" x14ac:dyDescent="0.25">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t="s">
        <v>1000</v>
      </c>
    </row>
    <row r="813" spans="1:17" x14ac:dyDescent="0.25">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t="s">
        <v>997</v>
      </c>
    </row>
    <row r="814" spans="1:17" x14ac:dyDescent="0.25">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t="s">
        <v>1000</v>
      </c>
    </row>
    <row r="815" spans="1:17" x14ac:dyDescent="0.25">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t="s">
        <v>999</v>
      </c>
    </row>
    <row r="816" spans="1:17" x14ac:dyDescent="0.25">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t="s">
        <v>1002</v>
      </c>
    </row>
    <row r="817" spans="1:17" x14ac:dyDescent="0.25">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t="s">
        <v>1003</v>
      </c>
    </row>
    <row r="818" spans="1:17" x14ac:dyDescent="0.25">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t="s">
        <v>1002</v>
      </c>
    </row>
    <row r="819" spans="1:17" x14ac:dyDescent="0.25">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t="s">
        <v>1003</v>
      </c>
    </row>
    <row r="820" spans="1:17" x14ac:dyDescent="0.25">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t="s">
        <v>1001</v>
      </c>
    </row>
    <row r="821" spans="1:17" x14ac:dyDescent="0.25">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t="s">
        <v>999</v>
      </c>
    </row>
    <row r="822" spans="1:17" x14ac:dyDescent="0.25">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t="s">
        <v>1000</v>
      </c>
    </row>
    <row r="823" spans="1:17" x14ac:dyDescent="0.25">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t="s">
        <v>1003</v>
      </c>
    </row>
    <row r="824" spans="1:17" x14ac:dyDescent="0.25">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t="s">
        <v>1003</v>
      </c>
    </row>
    <row r="825" spans="1:17" x14ac:dyDescent="0.25">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t="s">
        <v>1000</v>
      </c>
    </row>
    <row r="826" spans="1:17" x14ac:dyDescent="0.25">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t="s">
        <v>999</v>
      </c>
    </row>
    <row r="827" spans="1:17" x14ac:dyDescent="0.25">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t="s">
        <v>997</v>
      </c>
    </row>
    <row r="828" spans="1:17" x14ac:dyDescent="0.25">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t="s">
        <v>998</v>
      </c>
    </row>
    <row r="829" spans="1:17" x14ac:dyDescent="0.25">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t="s">
        <v>1000</v>
      </c>
    </row>
    <row r="830" spans="1:17" x14ac:dyDescent="0.25">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t="s">
        <v>999</v>
      </c>
    </row>
    <row r="831" spans="1:17" x14ac:dyDescent="0.25">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t="s">
        <v>998</v>
      </c>
    </row>
    <row r="832" spans="1:17" x14ac:dyDescent="0.25">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t="s">
        <v>997</v>
      </c>
    </row>
    <row r="833" spans="1:17" x14ac:dyDescent="0.25">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t="s">
        <v>1002</v>
      </c>
    </row>
    <row r="834" spans="1:17" x14ac:dyDescent="0.25">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t="s">
        <v>1001</v>
      </c>
    </row>
    <row r="835" spans="1:17" x14ac:dyDescent="0.25">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t="s">
        <v>999</v>
      </c>
    </row>
    <row r="836" spans="1:17" x14ac:dyDescent="0.25">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t="s">
        <v>1002</v>
      </c>
    </row>
    <row r="837" spans="1:17" x14ac:dyDescent="0.25">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t="s">
        <v>1002</v>
      </c>
    </row>
    <row r="838" spans="1:17" x14ac:dyDescent="0.25">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t="s">
        <v>1000</v>
      </c>
    </row>
    <row r="839" spans="1:17" x14ac:dyDescent="0.25">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t="s">
        <v>997</v>
      </c>
    </row>
    <row r="840" spans="1:17" x14ac:dyDescent="0.25">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t="s">
        <v>1000</v>
      </c>
    </row>
    <row r="841" spans="1:17" x14ac:dyDescent="0.25">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t="s">
        <v>999</v>
      </c>
    </row>
    <row r="842" spans="1:17" x14ac:dyDescent="0.25">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t="s">
        <v>998</v>
      </c>
    </row>
    <row r="843" spans="1:17" x14ac:dyDescent="0.25">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t="s">
        <v>1003</v>
      </c>
    </row>
    <row r="844" spans="1:17" x14ac:dyDescent="0.25">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t="s">
        <v>998</v>
      </c>
    </row>
    <row r="845" spans="1:17" x14ac:dyDescent="0.25">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t="s">
        <v>1002</v>
      </c>
    </row>
    <row r="846" spans="1:17" x14ac:dyDescent="0.25">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t="s">
        <v>1002</v>
      </c>
    </row>
    <row r="847" spans="1:17" x14ac:dyDescent="0.25">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t="s">
        <v>1002</v>
      </c>
    </row>
    <row r="848" spans="1:17" x14ac:dyDescent="0.25">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t="s">
        <v>1000</v>
      </c>
    </row>
    <row r="849" spans="1:17" x14ac:dyDescent="0.25">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t="s">
        <v>999</v>
      </c>
    </row>
    <row r="850" spans="1:17" x14ac:dyDescent="0.25">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t="s">
        <v>1003</v>
      </c>
    </row>
    <row r="851" spans="1:17" x14ac:dyDescent="0.25">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t="s">
        <v>1001</v>
      </c>
    </row>
    <row r="852" spans="1:17" x14ac:dyDescent="0.25">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t="s">
        <v>998</v>
      </c>
    </row>
    <row r="853" spans="1:17" x14ac:dyDescent="0.25">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t="s">
        <v>999</v>
      </c>
    </row>
    <row r="854" spans="1:17" x14ac:dyDescent="0.25">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t="s">
        <v>1000</v>
      </c>
    </row>
    <row r="855" spans="1:17" x14ac:dyDescent="0.25">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t="s">
        <v>999</v>
      </c>
    </row>
    <row r="856" spans="1:17" x14ac:dyDescent="0.25">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t="s">
        <v>997</v>
      </c>
    </row>
    <row r="857" spans="1:17" x14ac:dyDescent="0.25">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t="s">
        <v>1003</v>
      </c>
    </row>
    <row r="858" spans="1:17" x14ac:dyDescent="0.25">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t="s">
        <v>1003</v>
      </c>
    </row>
    <row r="859" spans="1:17" x14ac:dyDescent="0.25">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t="s">
        <v>999</v>
      </c>
    </row>
    <row r="860" spans="1:17" x14ac:dyDescent="0.25">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t="s">
        <v>997</v>
      </c>
    </row>
    <row r="861" spans="1:17" x14ac:dyDescent="0.25">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t="s">
        <v>999</v>
      </c>
    </row>
    <row r="862" spans="1:17" x14ac:dyDescent="0.25">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t="s">
        <v>997</v>
      </c>
    </row>
    <row r="863" spans="1:17" x14ac:dyDescent="0.25">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t="s">
        <v>1000</v>
      </c>
    </row>
    <row r="864" spans="1:17" x14ac:dyDescent="0.25">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t="s">
        <v>1003</v>
      </c>
    </row>
    <row r="865" spans="1:17" x14ac:dyDescent="0.25">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t="s">
        <v>1000</v>
      </c>
    </row>
    <row r="866" spans="1:17" x14ac:dyDescent="0.25">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t="s">
        <v>999</v>
      </c>
    </row>
    <row r="867" spans="1:17" x14ac:dyDescent="0.25">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t="s">
        <v>999</v>
      </c>
    </row>
    <row r="868" spans="1:17" x14ac:dyDescent="0.25">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t="s">
        <v>1003</v>
      </c>
    </row>
    <row r="869" spans="1:17" x14ac:dyDescent="0.25">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t="s">
        <v>1001</v>
      </c>
    </row>
    <row r="870" spans="1:17" x14ac:dyDescent="0.25">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t="s">
        <v>1003</v>
      </c>
    </row>
    <row r="871" spans="1:17" x14ac:dyDescent="0.25">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t="s">
        <v>999</v>
      </c>
    </row>
    <row r="872" spans="1:17" x14ac:dyDescent="0.25">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t="s">
        <v>999</v>
      </c>
    </row>
    <row r="873" spans="1:17" x14ac:dyDescent="0.25">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t="s">
        <v>1003</v>
      </c>
    </row>
    <row r="874" spans="1:17" x14ac:dyDescent="0.25">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t="s">
        <v>999</v>
      </c>
    </row>
    <row r="875" spans="1:17" x14ac:dyDescent="0.25">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t="s">
        <v>1001</v>
      </c>
    </row>
    <row r="876" spans="1:17" x14ac:dyDescent="0.25">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t="s">
        <v>998</v>
      </c>
    </row>
    <row r="877" spans="1:17" x14ac:dyDescent="0.25">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t="s">
        <v>1001</v>
      </c>
    </row>
    <row r="878" spans="1:17" x14ac:dyDescent="0.25">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t="s">
        <v>999</v>
      </c>
    </row>
    <row r="879" spans="1:17" x14ac:dyDescent="0.25">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t="s">
        <v>998</v>
      </c>
    </row>
    <row r="880" spans="1:17" x14ac:dyDescent="0.25">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t="s">
        <v>1002</v>
      </c>
    </row>
    <row r="881" spans="1:17" x14ac:dyDescent="0.25">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t="s">
        <v>1003</v>
      </c>
    </row>
    <row r="882" spans="1:17" x14ac:dyDescent="0.25">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t="s">
        <v>1001</v>
      </c>
    </row>
    <row r="883" spans="1:17" x14ac:dyDescent="0.25">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t="s">
        <v>1001</v>
      </c>
    </row>
    <row r="884" spans="1:17" x14ac:dyDescent="0.25">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t="s">
        <v>999</v>
      </c>
    </row>
    <row r="885" spans="1:17" x14ac:dyDescent="0.25">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t="s">
        <v>1002</v>
      </c>
    </row>
    <row r="886" spans="1:17" x14ac:dyDescent="0.25">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t="s">
        <v>1001</v>
      </c>
    </row>
    <row r="887" spans="1:17" x14ac:dyDescent="0.25">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t="s">
        <v>1002</v>
      </c>
    </row>
    <row r="888" spans="1:17" x14ac:dyDescent="0.25">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t="s">
        <v>1003</v>
      </c>
    </row>
    <row r="889" spans="1:17" x14ac:dyDescent="0.25">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t="s">
        <v>1000</v>
      </c>
    </row>
    <row r="890" spans="1:17" x14ac:dyDescent="0.25">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t="s">
        <v>1002</v>
      </c>
    </row>
    <row r="891" spans="1:17" x14ac:dyDescent="0.25">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t="s">
        <v>1000</v>
      </c>
    </row>
    <row r="892" spans="1:17" x14ac:dyDescent="0.25">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t="s">
        <v>1002</v>
      </c>
    </row>
    <row r="893" spans="1:17" x14ac:dyDescent="0.25">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t="s">
        <v>998</v>
      </c>
    </row>
    <row r="894" spans="1:17" x14ac:dyDescent="0.25">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t="s">
        <v>1000</v>
      </c>
    </row>
    <row r="895" spans="1:17" x14ac:dyDescent="0.25">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t="s">
        <v>997</v>
      </c>
    </row>
    <row r="896" spans="1:17" x14ac:dyDescent="0.25">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t="s">
        <v>1000</v>
      </c>
    </row>
    <row r="897" spans="1:17" x14ac:dyDescent="0.25">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t="s">
        <v>1003</v>
      </c>
    </row>
    <row r="898" spans="1:17" x14ac:dyDescent="0.25">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t="s">
        <v>998</v>
      </c>
    </row>
    <row r="899" spans="1:17" x14ac:dyDescent="0.25">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t="s">
        <v>1002</v>
      </c>
    </row>
    <row r="900" spans="1:17" x14ac:dyDescent="0.25">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t="s">
        <v>997</v>
      </c>
    </row>
    <row r="901" spans="1:17" x14ac:dyDescent="0.25">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t="s">
        <v>1002</v>
      </c>
    </row>
    <row r="902" spans="1:17" x14ac:dyDescent="0.25">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t="s">
        <v>1001</v>
      </c>
    </row>
    <row r="903" spans="1:17" x14ac:dyDescent="0.25">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t="s">
        <v>1002</v>
      </c>
    </row>
    <row r="904" spans="1:17" x14ac:dyDescent="0.25">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t="s">
        <v>998</v>
      </c>
    </row>
    <row r="905" spans="1:17" x14ac:dyDescent="0.25">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t="s">
        <v>1003</v>
      </c>
    </row>
    <row r="906" spans="1:17" x14ac:dyDescent="0.25">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t="s">
        <v>1000</v>
      </c>
    </row>
    <row r="907" spans="1:17" x14ac:dyDescent="0.25">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t="s">
        <v>1001</v>
      </c>
    </row>
    <row r="908" spans="1:17" x14ac:dyDescent="0.25">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t="s">
        <v>998</v>
      </c>
    </row>
    <row r="909" spans="1:17" x14ac:dyDescent="0.25">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t="s">
        <v>1003</v>
      </c>
    </row>
    <row r="910" spans="1:17" x14ac:dyDescent="0.25">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t="s">
        <v>999</v>
      </c>
    </row>
    <row r="911" spans="1:17" x14ac:dyDescent="0.25">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t="s">
        <v>997</v>
      </c>
    </row>
    <row r="912" spans="1:17" x14ac:dyDescent="0.25">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t="s">
        <v>997</v>
      </c>
    </row>
    <row r="913" spans="1:17" x14ac:dyDescent="0.25">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t="s">
        <v>1003</v>
      </c>
    </row>
    <row r="914" spans="1:17" x14ac:dyDescent="0.25">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t="s">
        <v>999</v>
      </c>
    </row>
    <row r="915" spans="1:17" x14ac:dyDescent="0.25">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t="s">
        <v>998</v>
      </c>
    </row>
    <row r="916" spans="1:17" x14ac:dyDescent="0.25">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t="s">
        <v>998</v>
      </c>
    </row>
    <row r="917" spans="1:17" x14ac:dyDescent="0.25">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t="s">
        <v>1003</v>
      </c>
    </row>
    <row r="918" spans="1:17" x14ac:dyDescent="0.25">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t="s">
        <v>1002</v>
      </c>
    </row>
    <row r="919" spans="1:17" x14ac:dyDescent="0.25">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t="s">
        <v>1002</v>
      </c>
    </row>
    <row r="920" spans="1:17" x14ac:dyDescent="0.25">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t="s">
        <v>1000</v>
      </c>
    </row>
    <row r="921" spans="1:17" x14ac:dyDescent="0.25">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t="s">
        <v>1001</v>
      </c>
    </row>
    <row r="922" spans="1:17" x14ac:dyDescent="0.25">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t="s">
        <v>1001</v>
      </c>
    </row>
    <row r="923" spans="1:17" x14ac:dyDescent="0.25">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t="s">
        <v>1001</v>
      </c>
    </row>
    <row r="924" spans="1:17" x14ac:dyDescent="0.25">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t="s">
        <v>1002</v>
      </c>
    </row>
    <row r="925" spans="1:17" x14ac:dyDescent="0.25">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t="s">
        <v>1003</v>
      </c>
    </row>
    <row r="926" spans="1:17" x14ac:dyDescent="0.25">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t="s">
        <v>997</v>
      </c>
    </row>
    <row r="927" spans="1:17" x14ac:dyDescent="0.25">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t="s">
        <v>999</v>
      </c>
    </row>
    <row r="928" spans="1:17" x14ac:dyDescent="0.25">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t="s">
        <v>999</v>
      </c>
    </row>
    <row r="929" spans="1:17" x14ac:dyDescent="0.25">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t="s">
        <v>1000</v>
      </c>
    </row>
    <row r="930" spans="1:17" x14ac:dyDescent="0.25">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t="s">
        <v>997</v>
      </c>
    </row>
    <row r="931" spans="1:17" x14ac:dyDescent="0.25">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t="s">
        <v>997</v>
      </c>
    </row>
    <row r="932" spans="1:17" x14ac:dyDescent="0.25">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t="s">
        <v>999</v>
      </c>
    </row>
    <row r="933" spans="1:17" x14ac:dyDescent="0.25">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t="s">
        <v>999</v>
      </c>
    </row>
    <row r="934" spans="1:17" x14ac:dyDescent="0.25">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t="s">
        <v>1002</v>
      </c>
    </row>
    <row r="935" spans="1:17" x14ac:dyDescent="0.25">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t="s">
        <v>998</v>
      </c>
    </row>
    <row r="936" spans="1:17" x14ac:dyDescent="0.25">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t="s">
        <v>998</v>
      </c>
    </row>
    <row r="937" spans="1:17" x14ac:dyDescent="0.25">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t="s">
        <v>998</v>
      </c>
    </row>
    <row r="938" spans="1:17" x14ac:dyDescent="0.25">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t="s">
        <v>999</v>
      </c>
    </row>
    <row r="939" spans="1:17" x14ac:dyDescent="0.25">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t="s">
        <v>1000</v>
      </c>
    </row>
    <row r="940" spans="1:17" x14ac:dyDescent="0.25">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t="s">
        <v>997</v>
      </c>
    </row>
    <row r="941" spans="1:17" x14ac:dyDescent="0.25">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t="s">
        <v>1001</v>
      </c>
    </row>
    <row r="942" spans="1:17" x14ac:dyDescent="0.25">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t="s">
        <v>997</v>
      </c>
    </row>
    <row r="943" spans="1:17" x14ac:dyDescent="0.25">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t="s">
        <v>1003</v>
      </c>
    </row>
    <row r="944" spans="1:17" x14ac:dyDescent="0.25">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t="s">
        <v>999</v>
      </c>
    </row>
    <row r="945" spans="1:17" x14ac:dyDescent="0.25">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t="s">
        <v>1001</v>
      </c>
    </row>
    <row r="946" spans="1:17" x14ac:dyDescent="0.25">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t="s">
        <v>999</v>
      </c>
    </row>
    <row r="947" spans="1:17" x14ac:dyDescent="0.25">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t="s">
        <v>1002</v>
      </c>
    </row>
    <row r="948" spans="1:17" x14ac:dyDescent="0.25">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t="s">
        <v>997</v>
      </c>
    </row>
    <row r="949" spans="1:17" x14ac:dyDescent="0.25">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t="s">
        <v>1003</v>
      </c>
    </row>
    <row r="950" spans="1:17" x14ac:dyDescent="0.25">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t="s">
        <v>999</v>
      </c>
    </row>
    <row r="951" spans="1:17" x14ac:dyDescent="0.25">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t="s">
        <v>998</v>
      </c>
    </row>
    <row r="952" spans="1:17" x14ac:dyDescent="0.25">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t="s">
        <v>1003</v>
      </c>
    </row>
    <row r="953" spans="1:17" x14ac:dyDescent="0.25">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t="s">
        <v>1003</v>
      </c>
    </row>
    <row r="954" spans="1:17" x14ac:dyDescent="0.25">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t="s">
        <v>997</v>
      </c>
    </row>
    <row r="955" spans="1:17" x14ac:dyDescent="0.25">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t="s">
        <v>1000</v>
      </c>
    </row>
    <row r="956" spans="1:17" x14ac:dyDescent="0.25">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t="s">
        <v>997</v>
      </c>
    </row>
    <row r="957" spans="1:17" x14ac:dyDescent="0.25">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t="s">
        <v>997</v>
      </c>
    </row>
    <row r="958" spans="1:17" x14ac:dyDescent="0.25">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t="s">
        <v>998</v>
      </c>
    </row>
    <row r="959" spans="1:17" x14ac:dyDescent="0.25">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t="s">
        <v>1001</v>
      </c>
    </row>
    <row r="960" spans="1:17" x14ac:dyDescent="0.25">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t="s">
        <v>1000</v>
      </c>
    </row>
    <row r="961" spans="1:17" x14ac:dyDescent="0.25">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t="s">
        <v>1003</v>
      </c>
    </row>
    <row r="962" spans="1:17" x14ac:dyDescent="0.25">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t="s">
        <v>1001</v>
      </c>
    </row>
    <row r="963" spans="1:17" x14ac:dyDescent="0.25">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t="s">
        <v>1001</v>
      </c>
    </row>
    <row r="964" spans="1:17" x14ac:dyDescent="0.25">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t="s">
        <v>1001</v>
      </c>
    </row>
    <row r="965" spans="1:17" x14ac:dyDescent="0.25">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t="s">
        <v>1001</v>
      </c>
    </row>
    <row r="966" spans="1:17" x14ac:dyDescent="0.25">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t="s">
        <v>998</v>
      </c>
    </row>
    <row r="967" spans="1:17" x14ac:dyDescent="0.25">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t="s">
        <v>998</v>
      </c>
    </row>
    <row r="968" spans="1:17" x14ac:dyDescent="0.25">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t="s">
        <v>999</v>
      </c>
    </row>
    <row r="969" spans="1:17" x14ac:dyDescent="0.25">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t="s">
        <v>999</v>
      </c>
    </row>
    <row r="970" spans="1:17" x14ac:dyDescent="0.25">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t="s">
        <v>1000</v>
      </c>
    </row>
    <row r="971" spans="1:17" x14ac:dyDescent="0.25">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t="s">
        <v>1002</v>
      </c>
    </row>
    <row r="972" spans="1:17" x14ac:dyDescent="0.25">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t="s">
        <v>999</v>
      </c>
    </row>
    <row r="973" spans="1:17" x14ac:dyDescent="0.25">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t="s">
        <v>997</v>
      </c>
    </row>
    <row r="974" spans="1:17" x14ac:dyDescent="0.25">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t="s">
        <v>999</v>
      </c>
    </row>
    <row r="975" spans="1:17" x14ac:dyDescent="0.25">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t="s">
        <v>1002</v>
      </c>
    </row>
    <row r="976" spans="1:17" x14ac:dyDescent="0.25">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t="s">
        <v>1003</v>
      </c>
    </row>
    <row r="977" spans="1:17" x14ac:dyDescent="0.25">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t="s">
        <v>998</v>
      </c>
    </row>
    <row r="978" spans="1:17" x14ac:dyDescent="0.25">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t="s">
        <v>999</v>
      </c>
    </row>
    <row r="979" spans="1:17" x14ac:dyDescent="0.25">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t="s">
        <v>999</v>
      </c>
    </row>
    <row r="980" spans="1:17" x14ac:dyDescent="0.25">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t="s">
        <v>1001</v>
      </c>
    </row>
    <row r="981" spans="1:17" x14ac:dyDescent="0.25">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t="s">
        <v>1000</v>
      </c>
    </row>
    <row r="982" spans="1:17" x14ac:dyDescent="0.25">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t="s">
        <v>997</v>
      </c>
    </row>
    <row r="983" spans="1:17" x14ac:dyDescent="0.25">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t="s">
        <v>998</v>
      </c>
    </row>
    <row r="984" spans="1:17" x14ac:dyDescent="0.25">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t="s">
        <v>998</v>
      </c>
    </row>
    <row r="985" spans="1:17" x14ac:dyDescent="0.25">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t="s">
        <v>1000</v>
      </c>
    </row>
    <row r="986" spans="1:17" x14ac:dyDescent="0.25">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t="s">
        <v>1002</v>
      </c>
    </row>
    <row r="987" spans="1:17" x14ac:dyDescent="0.25">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t="s">
        <v>1001</v>
      </c>
    </row>
    <row r="988" spans="1:17" x14ac:dyDescent="0.25">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t="s">
        <v>1003</v>
      </c>
    </row>
    <row r="989" spans="1:17" x14ac:dyDescent="0.25">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t="s">
        <v>997</v>
      </c>
    </row>
    <row r="990" spans="1:17" x14ac:dyDescent="0.25">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t="s">
        <v>997</v>
      </c>
    </row>
    <row r="991" spans="1:17" x14ac:dyDescent="0.25">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t="s">
        <v>1000</v>
      </c>
    </row>
    <row r="992" spans="1:17" x14ac:dyDescent="0.25">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t="s">
        <v>999</v>
      </c>
    </row>
    <row r="993" spans="1:17" x14ac:dyDescent="0.25">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t="s">
        <v>1003</v>
      </c>
    </row>
    <row r="994" spans="1:17" x14ac:dyDescent="0.25">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t="s">
        <v>999</v>
      </c>
    </row>
    <row r="995" spans="1:17" x14ac:dyDescent="0.25">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t="s">
        <v>1003</v>
      </c>
    </row>
    <row r="996" spans="1:17" x14ac:dyDescent="0.25">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t="s">
        <v>1000</v>
      </c>
    </row>
    <row r="997" spans="1:17" x14ac:dyDescent="0.25">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t="s">
        <v>999</v>
      </c>
    </row>
    <row r="998" spans="1:17" x14ac:dyDescent="0.25">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t="s">
        <v>1003</v>
      </c>
    </row>
    <row r="999" spans="1:17" x14ac:dyDescent="0.25">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t="s">
        <v>1000</v>
      </c>
    </row>
    <row r="1000" spans="1:17" x14ac:dyDescent="0.25">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t="s">
        <v>1000</v>
      </c>
    </row>
    <row r="1001" spans="1:17" x14ac:dyDescent="0.25">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t="s">
        <v>997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199F-F15E-4FC6-9A2F-655E0568660B}">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846</v>
      </c>
      <c r="C1" t="s">
        <v>847</v>
      </c>
      <c r="D1" t="s">
        <v>848</v>
      </c>
      <c r="E1" t="s">
        <v>603</v>
      </c>
      <c r="F1" t="s">
        <v>849</v>
      </c>
    </row>
    <row r="2" spans="1:6" x14ac:dyDescent="0.25">
      <c r="A2">
        <v>1</v>
      </c>
      <c r="B2" s="1" t="s">
        <v>850</v>
      </c>
      <c r="C2" s="1" t="s">
        <v>851</v>
      </c>
      <c r="D2">
        <v>1935</v>
      </c>
      <c r="E2" s="1" t="s">
        <v>689</v>
      </c>
      <c r="F2" s="1" t="s">
        <v>852</v>
      </c>
    </row>
    <row r="3" spans="1:6" x14ac:dyDescent="0.25">
      <c r="A3">
        <v>2</v>
      </c>
      <c r="B3" s="1" t="s">
        <v>853</v>
      </c>
      <c r="C3" s="1" t="s">
        <v>854</v>
      </c>
      <c r="D3">
        <v>441</v>
      </c>
      <c r="E3" s="1" t="s">
        <v>610</v>
      </c>
      <c r="F3" s="1" t="s">
        <v>855</v>
      </c>
    </row>
    <row r="4" spans="1:6" x14ac:dyDescent="0.25">
      <c r="A4">
        <v>3</v>
      </c>
      <c r="B4" s="1" t="s">
        <v>856</v>
      </c>
      <c r="C4" s="1" t="s">
        <v>857</v>
      </c>
      <c r="D4">
        <v>1534</v>
      </c>
      <c r="E4" s="1" t="s">
        <v>610</v>
      </c>
      <c r="F4" s="1" t="s">
        <v>858</v>
      </c>
    </row>
    <row r="5" spans="1:6" x14ac:dyDescent="0.25">
      <c r="A5">
        <v>4</v>
      </c>
      <c r="B5" s="1" t="s">
        <v>859</v>
      </c>
      <c r="C5" s="1" t="s">
        <v>860</v>
      </c>
      <c r="D5">
        <v>1199</v>
      </c>
      <c r="E5" s="1" t="s">
        <v>819</v>
      </c>
      <c r="F5" s="1" t="s">
        <v>861</v>
      </c>
    </row>
    <row r="6" spans="1:6" x14ac:dyDescent="0.25">
      <c r="A6">
        <v>5</v>
      </c>
      <c r="B6" s="1" t="s">
        <v>862</v>
      </c>
      <c r="C6" s="1" t="s">
        <v>857</v>
      </c>
      <c r="D6">
        <v>1444</v>
      </c>
      <c r="E6" s="1" t="s">
        <v>689</v>
      </c>
      <c r="F6" s="1" t="s">
        <v>863</v>
      </c>
    </row>
    <row r="7" spans="1:6" x14ac:dyDescent="0.25">
      <c r="A7">
        <v>6</v>
      </c>
      <c r="B7" s="1" t="s">
        <v>864</v>
      </c>
      <c r="C7" s="1" t="s">
        <v>865</v>
      </c>
      <c r="D7">
        <v>1112</v>
      </c>
      <c r="E7" s="1" t="s">
        <v>691</v>
      </c>
      <c r="F7" s="1" t="s">
        <v>866</v>
      </c>
    </row>
    <row r="8" spans="1:6" x14ac:dyDescent="0.25">
      <c r="A8">
        <v>7</v>
      </c>
      <c r="B8" s="1" t="s">
        <v>867</v>
      </c>
      <c r="C8" s="1" t="s">
        <v>851</v>
      </c>
      <c r="D8">
        <v>409</v>
      </c>
      <c r="E8" s="1" t="s">
        <v>691</v>
      </c>
      <c r="F8" s="1" t="s">
        <v>868</v>
      </c>
    </row>
    <row r="9" spans="1:6" x14ac:dyDescent="0.25">
      <c r="A9">
        <v>8</v>
      </c>
      <c r="B9" s="1" t="s">
        <v>869</v>
      </c>
      <c r="C9" s="1" t="s">
        <v>860</v>
      </c>
      <c r="D9">
        <v>252</v>
      </c>
      <c r="E9" s="1" t="s">
        <v>688</v>
      </c>
      <c r="F9" s="1" t="s">
        <v>870</v>
      </c>
    </row>
    <row r="10" spans="1:6" x14ac:dyDescent="0.25">
      <c r="A10">
        <v>9</v>
      </c>
      <c r="B10" s="1" t="s">
        <v>871</v>
      </c>
      <c r="C10" s="1" t="s">
        <v>857</v>
      </c>
      <c r="D10">
        <v>1605</v>
      </c>
      <c r="E10" s="1" t="s">
        <v>784</v>
      </c>
      <c r="F10" s="1" t="s">
        <v>872</v>
      </c>
    </row>
    <row r="11" spans="1:6" x14ac:dyDescent="0.25">
      <c r="A11">
        <v>10</v>
      </c>
      <c r="B11" s="1" t="s">
        <v>873</v>
      </c>
      <c r="C11" s="1" t="s">
        <v>865</v>
      </c>
      <c r="D11">
        <v>259</v>
      </c>
      <c r="E11" s="1" t="s">
        <v>697</v>
      </c>
      <c r="F11" s="1" t="s">
        <v>874</v>
      </c>
    </row>
    <row r="12" spans="1:6" x14ac:dyDescent="0.25">
      <c r="A12">
        <v>11</v>
      </c>
      <c r="B12" s="1" t="s">
        <v>875</v>
      </c>
      <c r="C12" s="1" t="s">
        <v>876</v>
      </c>
      <c r="D12">
        <v>1096</v>
      </c>
      <c r="E12" s="1" t="s">
        <v>610</v>
      </c>
      <c r="F12" s="1" t="s">
        <v>877</v>
      </c>
    </row>
    <row r="13" spans="1:6" x14ac:dyDescent="0.25">
      <c r="A13">
        <v>12</v>
      </c>
      <c r="B13" s="1" t="s">
        <v>878</v>
      </c>
      <c r="C13" s="1" t="s">
        <v>854</v>
      </c>
      <c r="D13">
        <v>672</v>
      </c>
      <c r="E13" s="1" t="s">
        <v>688</v>
      </c>
      <c r="F13" s="1" t="s">
        <v>879</v>
      </c>
    </row>
    <row r="14" spans="1:6" x14ac:dyDescent="0.25">
      <c r="A14">
        <v>13</v>
      </c>
      <c r="B14" s="1" t="s">
        <v>880</v>
      </c>
      <c r="C14" s="1" t="s">
        <v>876</v>
      </c>
      <c r="D14">
        <v>1141</v>
      </c>
      <c r="E14" s="1" t="s">
        <v>691</v>
      </c>
      <c r="F14" s="1" t="s">
        <v>881</v>
      </c>
    </row>
    <row r="15" spans="1:6" x14ac:dyDescent="0.25">
      <c r="A15">
        <v>14</v>
      </c>
      <c r="B15" s="1" t="s">
        <v>882</v>
      </c>
      <c r="C15" s="1" t="s">
        <v>857</v>
      </c>
      <c r="D15">
        <v>1915</v>
      </c>
      <c r="E15" s="1" t="s">
        <v>697</v>
      </c>
      <c r="F15" s="1" t="s">
        <v>883</v>
      </c>
    </row>
    <row r="16" spans="1:6" x14ac:dyDescent="0.25">
      <c r="A16">
        <v>15</v>
      </c>
      <c r="B16" s="1" t="s">
        <v>884</v>
      </c>
      <c r="C16" s="1" t="s">
        <v>784</v>
      </c>
      <c r="D16">
        <v>1488</v>
      </c>
      <c r="E16" s="1" t="s">
        <v>688</v>
      </c>
      <c r="F16" s="1" t="s">
        <v>885</v>
      </c>
    </row>
    <row r="17" spans="1:6" x14ac:dyDescent="0.25">
      <c r="A17">
        <v>16</v>
      </c>
      <c r="B17" s="1" t="s">
        <v>886</v>
      </c>
      <c r="C17" s="1" t="s">
        <v>860</v>
      </c>
      <c r="D17">
        <v>1721</v>
      </c>
      <c r="E17" s="1" t="s">
        <v>691</v>
      </c>
      <c r="F17" s="1" t="s">
        <v>887</v>
      </c>
    </row>
    <row r="18" spans="1:6" x14ac:dyDescent="0.25">
      <c r="A18">
        <v>17</v>
      </c>
      <c r="B18" s="1" t="s">
        <v>888</v>
      </c>
      <c r="C18" s="1" t="s">
        <v>851</v>
      </c>
      <c r="D18">
        <v>1899</v>
      </c>
      <c r="E18" s="1" t="s">
        <v>688</v>
      </c>
      <c r="F18" s="1" t="s">
        <v>889</v>
      </c>
    </row>
    <row r="19" spans="1:6" x14ac:dyDescent="0.25">
      <c r="A19">
        <v>18</v>
      </c>
      <c r="B19" s="1" t="s">
        <v>890</v>
      </c>
      <c r="C19" s="1" t="s">
        <v>854</v>
      </c>
      <c r="D19">
        <v>781</v>
      </c>
      <c r="E19" s="1" t="s">
        <v>697</v>
      </c>
      <c r="F19" s="1" t="s">
        <v>891</v>
      </c>
    </row>
    <row r="20" spans="1:6" x14ac:dyDescent="0.25">
      <c r="A20">
        <v>19</v>
      </c>
      <c r="B20" s="1" t="s">
        <v>892</v>
      </c>
      <c r="C20" s="1" t="s">
        <v>876</v>
      </c>
      <c r="D20">
        <v>1234</v>
      </c>
      <c r="E20" s="1" t="s">
        <v>610</v>
      </c>
      <c r="F20" s="1" t="s">
        <v>893</v>
      </c>
    </row>
    <row r="21" spans="1:6" x14ac:dyDescent="0.25">
      <c r="A21">
        <v>20</v>
      </c>
      <c r="B21" s="1" t="s">
        <v>894</v>
      </c>
      <c r="C21" s="1" t="s">
        <v>857</v>
      </c>
      <c r="D21">
        <v>697</v>
      </c>
      <c r="E21" s="1" t="s">
        <v>688</v>
      </c>
      <c r="F21" s="1" t="s">
        <v>895</v>
      </c>
    </row>
    <row r="22" spans="1:6" x14ac:dyDescent="0.25">
      <c r="A22">
        <v>21</v>
      </c>
      <c r="B22" s="1" t="s">
        <v>896</v>
      </c>
      <c r="C22" s="1" t="s">
        <v>857</v>
      </c>
      <c r="D22">
        <v>1561</v>
      </c>
      <c r="E22" s="1" t="s">
        <v>784</v>
      </c>
      <c r="F22" s="1" t="s">
        <v>897</v>
      </c>
    </row>
    <row r="23" spans="1:6" x14ac:dyDescent="0.25">
      <c r="A23">
        <v>22</v>
      </c>
      <c r="B23" s="1" t="s">
        <v>898</v>
      </c>
      <c r="C23" s="1" t="s">
        <v>851</v>
      </c>
      <c r="D23">
        <v>1639</v>
      </c>
      <c r="E23" s="1" t="s">
        <v>689</v>
      </c>
      <c r="F23" s="1" t="s">
        <v>899</v>
      </c>
    </row>
    <row r="24" spans="1:6" x14ac:dyDescent="0.25">
      <c r="A24">
        <v>23</v>
      </c>
      <c r="B24" s="1" t="s">
        <v>900</v>
      </c>
      <c r="C24" s="1" t="s">
        <v>860</v>
      </c>
      <c r="D24">
        <v>1098</v>
      </c>
      <c r="E24" s="1" t="s">
        <v>688</v>
      </c>
      <c r="F24" s="1" t="s">
        <v>901</v>
      </c>
    </row>
    <row r="25" spans="1:6" x14ac:dyDescent="0.25">
      <c r="A25">
        <v>24</v>
      </c>
      <c r="B25" s="1" t="s">
        <v>902</v>
      </c>
      <c r="C25" s="1" t="s">
        <v>876</v>
      </c>
      <c r="D25">
        <v>535</v>
      </c>
      <c r="E25" s="1" t="s">
        <v>697</v>
      </c>
      <c r="F25" s="1" t="s">
        <v>903</v>
      </c>
    </row>
    <row r="26" spans="1:6" x14ac:dyDescent="0.25">
      <c r="A26">
        <v>25</v>
      </c>
      <c r="B26" s="1" t="s">
        <v>904</v>
      </c>
      <c r="C26" s="1" t="s">
        <v>854</v>
      </c>
      <c r="D26">
        <v>1202</v>
      </c>
      <c r="E26" s="1" t="s">
        <v>688</v>
      </c>
      <c r="F26" s="1" t="s">
        <v>905</v>
      </c>
    </row>
    <row r="27" spans="1:6" x14ac:dyDescent="0.25">
      <c r="A27">
        <v>26</v>
      </c>
      <c r="B27" s="1" t="s">
        <v>906</v>
      </c>
      <c r="C27" s="1" t="s">
        <v>857</v>
      </c>
      <c r="D27">
        <v>289</v>
      </c>
      <c r="E27" s="1" t="s">
        <v>691</v>
      </c>
      <c r="F27" s="1" t="s">
        <v>907</v>
      </c>
    </row>
    <row r="28" spans="1:6" x14ac:dyDescent="0.25">
      <c r="A28">
        <v>27</v>
      </c>
      <c r="B28" s="1" t="s">
        <v>908</v>
      </c>
      <c r="C28" s="1" t="s">
        <v>865</v>
      </c>
      <c r="D28">
        <v>548</v>
      </c>
      <c r="E28" s="1" t="s">
        <v>784</v>
      </c>
      <c r="F28" s="1" t="s">
        <v>909</v>
      </c>
    </row>
    <row r="29" spans="1:6" x14ac:dyDescent="0.25">
      <c r="A29">
        <v>28</v>
      </c>
      <c r="B29" s="1" t="s">
        <v>910</v>
      </c>
      <c r="C29" s="1" t="s">
        <v>860</v>
      </c>
      <c r="D29">
        <v>1778</v>
      </c>
      <c r="E29" s="1" t="s">
        <v>784</v>
      </c>
      <c r="F29" s="1" t="s">
        <v>911</v>
      </c>
    </row>
    <row r="30" spans="1:6" x14ac:dyDescent="0.25">
      <c r="A30">
        <v>29</v>
      </c>
      <c r="B30" s="1" t="s">
        <v>912</v>
      </c>
      <c r="C30" s="1" t="s">
        <v>857</v>
      </c>
      <c r="D30">
        <v>1252</v>
      </c>
      <c r="E30" s="1" t="s">
        <v>691</v>
      </c>
      <c r="F30" s="1" t="s">
        <v>913</v>
      </c>
    </row>
    <row r="31" spans="1:6" x14ac:dyDescent="0.25">
      <c r="A31">
        <v>30</v>
      </c>
      <c r="B31" s="1" t="s">
        <v>914</v>
      </c>
      <c r="C31" s="1" t="s">
        <v>857</v>
      </c>
      <c r="D31">
        <v>751</v>
      </c>
      <c r="E31" s="1" t="s">
        <v>688</v>
      </c>
      <c r="F31" s="1" t="s">
        <v>915</v>
      </c>
    </row>
    <row r="32" spans="1:6" x14ac:dyDescent="0.25">
      <c r="A32">
        <v>31</v>
      </c>
      <c r="B32" s="1" t="s">
        <v>916</v>
      </c>
      <c r="C32" s="1" t="s">
        <v>857</v>
      </c>
      <c r="D32">
        <v>1804</v>
      </c>
      <c r="E32" s="1" t="s">
        <v>689</v>
      </c>
      <c r="F32" s="1" t="s">
        <v>917</v>
      </c>
    </row>
    <row r="33" spans="1:6" x14ac:dyDescent="0.25">
      <c r="A33">
        <v>32</v>
      </c>
      <c r="B33" s="1" t="s">
        <v>918</v>
      </c>
      <c r="C33" s="1" t="s">
        <v>851</v>
      </c>
      <c r="D33">
        <v>1792</v>
      </c>
      <c r="E33" s="1" t="s">
        <v>697</v>
      </c>
      <c r="F33" s="1" t="s">
        <v>919</v>
      </c>
    </row>
    <row r="34" spans="1:6" x14ac:dyDescent="0.25">
      <c r="A34">
        <v>33</v>
      </c>
      <c r="B34" s="1" t="s">
        <v>920</v>
      </c>
      <c r="C34" s="1" t="s">
        <v>857</v>
      </c>
      <c r="D34">
        <v>314</v>
      </c>
      <c r="E34" s="1" t="s">
        <v>610</v>
      </c>
      <c r="F34" s="1" t="s">
        <v>921</v>
      </c>
    </row>
    <row r="35" spans="1:6" x14ac:dyDescent="0.25">
      <c r="A35">
        <v>34</v>
      </c>
      <c r="B35" s="1" t="s">
        <v>922</v>
      </c>
      <c r="C35" s="1" t="s">
        <v>851</v>
      </c>
      <c r="D35">
        <v>1335</v>
      </c>
      <c r="E35" s="1" t="s">
        <v>784</v>
      </c>
      <c r="F35" s="1" t="s">
        <v>923</v>
      </c>
    </row>
    <row r="36" spans="1:6" x14ac:dyDescent="0.25">
      <c r="A36">
        <v>35</v>
      </c>
      <c r="B36" s="1" t="s">
        <v>924</v>
      </c>
      <c r="C36" s="1" t="s">
        <v>857</v>
      </c>
      <c r="D36">
        <v>1865</v>
      </c>
      <c r="E36" s="1" t="s">
        <v>691</v>
      </c>
      <c r="F36" s="1" t="s">
        <v>925</v>
      </c>
    </row>
    <row r="37" spans="1:6" x14ac:dyDescent="0.25">
      <c r="A37">
        <v>36</v>
      </c>
      <c r="B37" s="1" t="s">
        <v>926</v>
      </c>
      <c r="C37" s="1" t="s">
        <v>854</v>
      </c>
      <c r="D37">
        <v>203</v>
      </c>
      <c r="E37" s="1" t="s">
        <v>697</v>
      </c>
      <c r="F37" s="1" t="s">
        <v>927</v>
      </c>
    </row>
    <row r="38" spans="1:6" x14ac:dyDescent="0.25">
      <c r="A38">
        <v>37</v>
      </c>
      <c r="B38" s="1" t="s">
        <v>928</v>
      </c>
      <c r="C38" s="1" t="s">
        <v>857</v>
      </c>
      <c r="D38">
        <v>1428</v>
      </c>
      <c r="E38" s="1" t="s">
        <v>819</v>
      </c>
      <c r="F38" s="1" t="s">
        <v>929</v>
      </c>
    </row>
    <row r="39" spans="1:6" x14ac:dyDescent="0.25">
      <c r="A39">
        <v>38</v>
      </c>
      <c r="B39" s="1" t="s">
        <v>930</v>
      </c>
      <c r="C39" s="1" t="s">
        <v>865</v>
      </c>
      <c r="D39">
        <v>562</v>
      </c>
      <c r="E39" s="1" t="s">
        <v>697</v>
      </c>
      <c r="F39" s="1" t="s">
        <v>931</v>
      </c>
    </row>
    <row r="40" spans="1:6" x14ac:dyDescent="0.25">
      <c r="A40">
        <v>39</v>
      </c>
      <c r="B40" s="1" t="s">
        <v>932</v>
      </c>
      <c r="C40" s="1" t="s">
        <v>876</v>
      </c>
      <c r="D40">
        <v>387</v>
      </c>
      <c r="E40" s="1" t="s">
        <v>689</v>
      </c>
      <c r="F40" s="1" t="s">
        <v>933</v>
      </c>
    </row>
    <row r="41" spans="1:6" x14ac:dyDescent="0.25">
      <c r="A41">
        <v>40</v>
      </c>
      <c r="B41" s="1" t="s">
        <v>934</v>
      </c>
      <c r="C41" s="1" t="s">
        <v>860</v>
      </c>
      <c r="D41">
        <v>1923</v>
      </c>
      <c r="E41" s="1" t="s">
        <v>688</v>
      </c>
      <c r="F41" s="1" t="s">
        <v>935</v>
      </c>
    </row>
    <row r="42" spans="1:6" x14ac:dyDescent="0.25">
      <c r="A42">
        <v>41</v>
      </c>
      <c r="B42" s="1" t="s">
        <v>936</v>
      </c>
      <c r="C42" s="1" t="s">
        <v>860</v>
      </c>
      <c r="D42">
        <v>1977</v>
      </c>
      <c r="E42" s="1" t="s">
        <v>819</v>
      </c>
      <c r="F42" s="1" t="s">
        <v>937</v>
      </c>
    </row>
    <row r="43" spans="1:6" x14ac:dyDescent="0.25">
      <c r="A43">
        <v>42</v>
      </c>
      <c r="B43" s="1" t="s">
        <v>938</v>
      </c>
      <c r="C43" s="1" t="s">
        <v>860</v>
      </c>
      <c r="D43">
        <v>1744</v>
      </c>
      <c r="E43" s="1" t="s">
        <v>689</v>
      </c>
      <c r="F43" s="1" t="s">
        <v>939</v>
      </c>
    </row>
    <row r="44" spans="1:6" x14ac:dyDescent="0.25">
      <c r="A44">
        <v>43</v>
      </c>
      <c r="B44" s="1" t="s">
        <v>940</v>
      </c>
      <c r="C44" s="1" t="s">
        <v>784</v>
      </c>
      <c r="D44">
        <v>750</v>
      </c>
      <c r="E44" s="1" t="s">
        <v>819</v>
      </c>
      <c r="F44" s="1" t="s">
        <v>941</v>
      </c>
    </row>
    <row r="45" spans="1:6" x14ac:dyDescent="0.25">
      <c r="A45">
        <v>44</v>
      </c>
      <c r="B45" s="1" t="s">
        <v>942</v>
      </c>
      <c r="C45" s="1" t="s">
        <v>854</v>
      </c>
      <c r="D45">
        <v>794</v>
      </c>
      <c r="E45" s="1" t="s">
        <v>819</v>
      </c>
      <c r="F45" s="1" t="s">
        <v>943</v>
      </c>
    </row>
    <row r="46" spans="1:6" x14ac:dyDescent="0.25">
      <c r="A46">
        <v>45</v>
      </c>
      <c r="B46" s="1" t="s">
        <v>944</v>
      </c>
      <c r="C46" s="1" t="s">
        <v>784</v>
      </c>
      <c r="D46">
        <v>722</v>
      </c>
      <c r="E46" s="1" t="s">
        <v>697</v>
      </c>
      <c r="F46" s="1" t="s">
        <v>945</v>
      </c>
    </row>
    <row r="47" spans="1:6" x14ac:dyDescent="0.25">
      <c r="A47">
        <v>46</v>
      </c>
      <c r="B47" s="1" t="s">
        <v>946</v>
      </c>
      <c r="C47" s="1" t="s">
        <v>865</v>
      </c>
      <c r="D47">
        <v>758</v>
      </c>
      <c r="E47" s="1" t="s">
        <v>688</v>
      </c>
      <c r="F47" s="1" t="s">
        <v>947</v>
      </c>
    </row>
    <row r="48" spans="1:6" x14ac:dyDescent="0.25">
      <c r="A48">
        <v>47</v>
      </c>
      <c r="B48" s="1" t="s">
        <v>948</v>
      </c>
      <c r="C48" s="1" t="s">
        <v>857</v>
      </c>
      <c r="D48">
        <v>1638</v>
      </c>
      <c r="E48" s="1" t="s">
        <v>691</v>
      </c>
      <c r="F48" s="1" t="s">
        <v>949</v>
      </c>
    </row>
    <row r="49" spans="1:6" x14ac:dyDescent="0.25">
      <c r="A49">
        <v>48</v>
      </c>
      <c r="B49" s="1" t="s">
        <v>950</v>
      </c>
      <c r="C49" s="1" t="s">
        <v>857</v>
      </c>
      <c r="D49">
        <v>433</v>
      </c>
      <c r="E49" s="1" t="s">
        <v>819</v>
      </c>
      <c r="F49" s="1" t="s">
        <v>951</v>
      </c>
    </row>
    <row r="50" spans="1:6" x14ac:dyDescent="0.25">
      <c r="A50">
        <v>49</v>
      </c>
      <c r="B50" s="1" t="s">
        <v>952</v>
      </c>
      <c r="C50" s="1" t="s">
        <v>857</v>
      </c>
      <c r="D50">
        <v>903</v>
      </c>
      <c r="E50" s="1" t="s">
        <v>610</v>
      </c>
      <c r="F50" s="1" t="s">
        <v>953</v>
      </c>
    </row>
    <row r="51" spans="1:6" x14ac:dyDescent="0.25">
      <c r="A51">
        <v>50</v>
      </c>
      <c r="B51" s="1" t="s">
        <v>954</v>
      </c>
      <c r="C51" s="1" t="s">
        <v>854</v>
      </c>
      <c r="D51">
        <v>422</v>
      </c>
      <c r="E51" s="1" t="s">
        <v>691</v>
      </c>
      <c r="F51" s="1" t="s">
        <v>955</v>
      </c>
    </row>
    <row r="52" spans="1:6" x14ac:dyDescent="0.25">
      <c r="A52">
        <v>51</v>
      </c>
      <c r="B52" s="1" t="s">
        <v>956</v>
      </c>
      <c r="C52" s="1" t="s">
        <v>851</v>
      </c>
      <c r="D52">
        <v>1084</v>
      </c>
      <c r="E52" s="1" t="s">
        <v>689</v>
      </c>
      <c r="F52" s="1" t="s">
        <v>957</v>
      </c>
    </row>
    <row r="53" spans="1:6" x14ac:dyDescent="0.25">
      <c r="A53">
        <v>52</v>
      </c>
      <c r="B53" s="1" t="s">
        <v>958</v>
      </c>
      <c r="C53" s="1" t="s">
        <v>784</v>
      </c>
      <c r="D53">
        <v>236</v>
      </c>
      <c r="E53" s="1" t="s">
        <v>610</v>
      </c>
      <c r="F53" s="1" t="s">
        <v>959</v>
      </c>
    </row>
    <row r="54" spans="1:6" x14ac:dyDescent="0.25">
      <c r="A54">
        <v>53</v>
      </c>
      <c r="B54" s="1" t="s">
        <v>960</v>
      </c>
      <c r="C54" s="1" t="s">
        <v>860</v>
      </c>
      <c r="D54">
        <v>1672</v>
      </c>
      <c r="E54" s="1" t="s">
        <v>784</v>
      </c>
      <c r="F54" s="1" t="s">
        <v>961</v>
      </c>
    </row>
    <row r="55" spans="1:6" x14ac:dyDescent="0.25">
      <c r="A55">
        <v>54</v>
      </c>
      <c r="B55" s="1" t="s">
        <v>962</v>
      </c>
      <c r="C55" s="1" t="s">
        <v>865</v>
      </c>
      <c r="D55">
        <v>1236</v>
      </c>
      <c r="E55" s="1" t="s">
        <v>688</v>
      </c>
      <c r="F55" s="1" t="s">
        <v>963</v>
      </c>
    </row>
    <row r="56" spans="1:6" x14ac:dyDescent="0.25">
      <c r="A56">
        <v>55</v>
      </c>
      <c r="B56" s="1" t="s">
        <v>964</v>
      </c>
      <c r="C56" s="1" t="s">
        <v>851</v>
      </c>
      <c r="D56">
        <v>1904</v>
      </c>
      <c r="E56" s="1" t="s">
        <v>784</v>
      </c>
      <c r="F56" s="1" t="s">
        <v>965</v>
      </c>
    </row>
    <row r="57" spans="1:6" x14ac:dyDescent="0.25">
      <c r="A57">
        <v>56</v>
      </c>
      <c r="B57" s="1" t="s">
        <v>896</v>
      </c>
      <c r="C57" s="1" t="s">
        <v>784</v>
      </c>
      <c r="D57">
        <v>1272</v>
      </c>
      <c r="E57" s="1" t="s">
        <v>688</v>
      </c>
      <c r="F57" s="1" t="s">
        <v>966</v>
      </c>
    </row>
    <row r="58" spans="1:6" x14ac:dyDescent="0.25">
      <c r="A58">
        <v>57</v>
      </c>
      <c r="B58" s="1" t="s">
        <v>967</v>
      </c>
      <c r="C58" s="1" t="s">
        <v>857</v>
      </c>
      <c r="D58">
        <v>1582</v>
      </c>
      <c r="E58" s="1" t="s">
        <v>697</v>
      </c>
      <c r="F58" s="1" t="s">
        <v>968</v>
      </c>
    </row>
    <row r="59" spans="1:6" x14ac:dyDescent="0.25">
      <c r="A59">
        <v>58</v>
      </c>
      <c r="B59" s="1" t="s">
        <v>969</v>
      </c>
      <c r="C59" s="1" t="s">
        <v>865</v>
      </c>
      <c r="D59">
        <v>1492</v>
      </c>
      <c r="E59" s="1" t="s">
        <v>610</v>
      </c>
      <c r="F59" s="1" t="s">
        <v>970</v>
      </c>
    </row>
    <row r="60" spans="1:6" x14ac:dyDescent="0.25">
      <c r="A60">
        <v>59</v>
      </c>
      <c r="B60" s="1" t="s">
        <v>971</v>
      </c>
      <c r="C60" s="1" t="s">
        <v>865</v>
      </c>
      <c r="D60">
        <v>811</v>
      </c>
      <c r="E60" s="1" t="s">
        <v>784</v>
      </c>
      <c r="F60" s="1" t="s">
        <v>972</v>
      </c>
    </row>
    <row r="61" spans="1:6" x14ac:dyDescent="0.25">
      <c r="A61">
        <v>60</v>
      </c>
      <c r="B61" s="1" t="s">
        <v>973</v>
      </c>
      <c r="C61" s="1" t="s">
        <v>860</v>
      </c>
      <c r="D61">
        <v>827</v>
      </c>
      <c r="E61" s="1" t="s">
        <v>819</v>
      </c>
      <c r="F61" s="1" t="s">
        <v>974</v>
      </c>
    </row>
    <row r="62" spans="1:6" x14ac:dyDescent="0.25">
      <c r="A62">
        <v>61</v>
      </c>
      <c r="B62" s="1" t="s">
        <v>975</v>
      </c>
      <c r="C62" s="1" t="s">
        <v>854</v>
      </c>
      <c r="D62">
        <v>810</v>
      </c>
      <c r="E62" s="1" t="s">
        <v>688</v>
      </c>
      <c r="F62" s="1" t="s">
        <v>976</v>
      </c>
    </row>
    <row r="63" spans="1:6" x14ac:dyDescent="0.25">
      <c r="A63">
        <v>62</v>
      </c>
      <c r="B63" s="1" t="s">
        <v>977</v>
      </c>
      <c r="C63" s="1" t="s">
        <v>857</v>
      </c>
      <c r="D63">
        <v>1356</v>
      </c>
      <c r="E63" s="1" t="s">
        <v>691</v>
      </c>
      <c r="F63" s="1" t="s">
        <v>978</v>
      </c>
    </row>
    <row r="64" spans="1:6" x14ac:dyDescent="0.25">
      <c r="A64">
        <v>63</v>
      </c>
      <c r="B64" s="1" t="s">
        <v>979</v>
      </c>
      <c r="C64" s="1" t="s">
        <v>860</v>
      </c>
      <c r="D64">
        <v>1348</v>
      </c>
      <c r="E64" s="1" t="s">
        <v>689</v>
      </c>
      <c r="F64" s="1" t="s">
        <v>980</v>
      </c>
    </row>
    <row r="65" spans="1:6" x14ac:dyDescent="0.25">
      <c r="A65">
        <v>64</v>
      </c>
      <c r="B65" s="1" t="s">
        <v>981</v>
      </c>
      <c r="C65" s="1" t="s">
        <v>851</v>
      </c>
      <c r="D65">
        <v>1878</v>
      </c>
      <c r="E65" s="1" t="s">
        <v>784</v>
      </c>
      <c r="F65" s="1" t="s">
        <v>982</v>
      </c>
    </row>
    <row r="66" spans="1:6" x14ac:dyDescent="0.25">
      <c r="A66">
        <v>65</v>
      </c>
      <c r="B66" s="1" t="s">
        <v>983</v>
      </c>
      <c r="C66" s="1" t="s">
        <v>784</v>
      </c>
      <c r="D66">
        <v>1895</v>
      </c>
      <c r="E66" s="1" t="s">
        <v>689</v>
      </c>
      <c r="F66" s="1" t="s">
        <v>984</v>
      </c>
    </row>
    <row r="67" spans="1:6" x14ac:dyDescent="0.25">
      <c r="A67">
        <v>66</v>
      </c>
      <c r="B67" s="1" t="s">
        <v>985</v>
      </c>
      <c r="C67" s="1" t="s">
        <v>857</v>
      </c>
      <c r="D67">
        <v>610</v>
      </c>
      <c r="E67" s="1" t="s">
        <v>691</v>
      </c>
      <c r="F67" s="1" t="s">
        <v>986</v>
      </c>
    </row>
    <row r="68" spans="1:6" x14ac:dyDescent="0.25">
      <c r="A68">
        <v>67</v>
      </c>
      <c r="B68" s="1" t="s">
        <v>987</v>
      </c>
      <c r="C68" s="1" t="s">
        <v>784</v>
      </c>
      <c r="D68">
        <v>1374</v>
      </c>
      <c r="E68" s="1" t="s">
        <v>688</v>
      </c>
      <c r="F68" s="1" t="s">
        <v>988</v>
      </c>
    </row>
    <row r="69" spans="1:6" x14ac:dyDescent="0.25">
      <c r="A69">
        <v>68</v>
      </c>
      <c r="B69" s="1" t="s">
        <v>989</v>
      </c>
      <c r="C69" s="1" t="s">
        <v>851</v>
      </c>
      <c r="D69">
        <v>597</v>
      </c>
      <c r="E69" s="1" t="s">
        <v>610</v>
      </c>
      <c r="F69" s="1" t="s">
        <v>990</v>
      </c>
    </row>
    <row r="70" spans="1:6" x14ac:dyDescent="0.25">
      <c r="A70">
        <v>69</v>
      </c>
      <c r="B70" s="1" t="s">
        <v>991</v>
      </c>
      <c r="C70" s="1" t="s">
        <v>865</v>
      </c>
      <c r="D70">
        <v>998</v>
      </c>
      <c r="E70" s="1" t="s">
        <v>691</v>
      </c>
      <c r="F70" s="1" t="s">
        <v>992</v>
      </c>
    </row>
    <row r="71" spans="1:6" x14ac:dyDescent="0.25">
      <c r="A71">
        <v>70</v>
      </c>
      <c r="B71" s="1" t="s">
        <v>983</v>
      </c>
      <c r="C71" s="1" t="s">
        <v>860</v>
      </c>
      <c r="D71">
        <v>866</v>
      </c>
      <c r="E71" s="1" t="s">
        <v>697</v>
      </c>
      <c r="F71" s="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790E-0D22-49AC-8AD6-29B12D268529}">
  <dimension ref="A1:Y37"/>
  <sheetViews>
    <sheetView topLeftCell="K1" workbookViewId="0">
      <selection activeCell="Y15" sqref="Y15"/>
    </sheetView>
  </sheetViews>
  <sheetFormatPr defaultRowHeight="15" x14ac:dyDescent="0.25"/>
  <cols>
    <col min="1" max="1" width="13.85546875" bestFit="1" customWidth="1"/>
    <col min="2" max="2" width="14.28515625" customWidth="1"/>
    <col min="3" max="3" width="30.28515625" bestFit="1" customWidth="1"/>
    <col min="4" max="4" width="10.140625" customWidth="1"/>
    <col min="5" max="5" width="11.28515625" bestFit="1" customWidth="1"/>
    <col min="6" max="6" width="25.140625" bestFit="1" customWidth="1"/>
    <col min="8" max="8" width="12.85546875" bestFit="1" customWidth="1"/>
    <col min="9" max="9" width="12.28515625" bestFit="1" customWidth="1"/>
    <col min="11" max="11" width="22" bestFit="1" customWidth="1"/>
    <col min="12" max="12" width="15.5703125" bestFit="1" customWidth="1"/>
    <col min="13" max="13" width="15.42578125" bestFit="1" customWidth="1"/>
    <col min="14" max="14" width="13.42578125" bestFit="1" customWidth="1"/>
    <col min="16" max="16" width="14.85546875" bestFit="1" customWidth="1"/>
    <col min="17" max="17" width="14.28515625" bestFit="1" customWidth="1"/>
    <col min="18" max="18" width="15.7109375" bestFit="1" customWidth="1"/>
    <col min="21" max="21" width="12" bestFit="1" customWidth="1"/>
    <col min="22" max="22" width="13.42578125" bestFit="1" customWidth="1"/>
    <col min="24" max="24" width="12" bestFit="1" customWidth="1"/>
    <col min="25" max="25" width="13.42578125" bestFit="1" customWidth="1"/>
  </cols>
  <sheetData>
    <row r="1" spans="1:25" x14ac:dyDescent="0.25">
      <c r="A1" t="s">
        <v>1004</v>
      </c>
      <c r="C1" t="s">
        <v>1005</v>
      </c>
      <c r="E1" s="4" t="s">
        <v>1006</v>
      </c>
      <c r="F1" t="s">
        <v>1007</v>
      </c>
      <c r="H1" s="4" t="s">
        <v>1008</v>
      </c>
      <c r="I1" t="s">
        <v>995</v>
      </c>
      <c r="K1" t="s">
        <v>1009</v>
      </c>
      <c r="M1" s="4" t="s">
        <v>1010</v>
      </c>
      <c r="N1" t="s">
        <v>995</v>
      </c>
      <c r="P1" s="4" t="s">
        <v>1012</v>
      </c>
      <c r="Q1" t="s">
        <v>1013</v>
      </c>
      <c r="S1">
        <f>CORREL(orders[Quantity],orders[diff-delivery-orders])</f>
        <v>3.4781737193018245E-3</v>
      </c>
      <c r="U1" s="4" t="s">
        <v>1014</v>
      </c>
      <c r="V1" t="s">
        <v>995</v>
      </c>
      <c r="X1" s="4" t="s">
        <v>1014</v>
      </c>
      <c r="Y1" t="s">
        <v>1011</v>
      </c>
    </row>
    <row r="2" spans="1:25" x14ac:dyDescent="0.25">
      <c r="A2" s="6">
        <v>3520984</v>
      </c>
      <c r="C2" s="1">
        <v>5.53</v>
      </c>
      <c r="E2" s="5" t="s">
        <v>832</v>
      </c>
      <c r="F2" s="6">
        <v>95468</v>
      </c>
      <c r="H2" s="5" t="s">
        <v>882</v>
      </c>
      <c r="I2" s="6">
        <v>97665</v>
      </c>
      <c r="K2" s="6">
        <v>3520.9839999999999</v>
      </c>
      <c r="M2" s="5" t="s">
        <v>865</v>
      </c>
      <c r="N2" s="6">
        <v>329862</v>
      </c>
      <c r="P2" s="5" t="s">
        <v>208</v>
      </c>
      <c r="Q2" s="1">
        <v>18</v>
      </c>
      <c r="U2" s="5" t="s">
        <v>689</v>
      </c>
      <c r="V2" s="6">
        <v>586176</v>
      </c>
      <c r="X2" s="5" t="s">
        <v>689</v>
      </c>
      <c r="Y2" s="1">
        <v>66361</v>
      </c>
    </row>
    <row r="3" spans="1:25" x14ac:dyDescent="0.25">
      <c r="E3" s="5" t="s">
        <v>611</v>
      </c>
      <c r="F3" s="6">
        <v>704509</v>
      </c>
      <c r="H3" s="5" t="s">
        <v>964</v>
      </c>
      <c r="I3" s="6">
        <v>106624</v>
      </c>
      <c r="M3" s="5" t="s">
        <v>857</v>
      </c>
      <c r="N3" s="6">
        <v>1005645</v>
      </c>
      <c r="P3" s="5" t="s">
        <v>142</v>
      </c>
      <c r="Q3" s="1">
        <v>21</v>
      </c>
      <c r="U3" s="5" t="s">
        <v>688</v>
      </c>
      <c r="V3" s="6">
        <v>674634</v>
      </c>
      <c r="X3" s="5" t="s">
        <v>688</v>
      </c>
      <c r="Y3" s="1">
        <v>103174</v>
      </c>
    </row>
    <row r="4" spans="1:25" x14ac:dyDescent="0.25">
      <c r="E4" s="5" t="s">
        <v>737</v>
      </c>
      <c r="F4" s="6">
        <v>511823</v>
      </c>
      <c r="H4" s="5" t="s">
        <v>948</v>
      </c>
      <c r="I4" s="6">
        <v>101556</v>
      </c>
      <c r="M4" s="5" t="s">
        <v>876</v>
      </c>
      <c r="N4" s="6">
        <v>201151</v>
      </c>
      <c r="P4" s="5" t="s">
        <v>22</v>
      </c>
      <c r="Q4" s="1">
        <v>18</v>
      </c>
      <c r="U4" s="5" t="s">
        <v>697</v>
      </c>
      <c r="V4" s="6">
        <v>408194</v>
      </c>
      <c r="X4" s="5" t="s">
        <v>697</v>
      </c>
      <c r="Y4" s="1">
        <v>71097</v>
      </c>
    </row>
    <row r="5" spans="1:25" x14ac:dyDescent="0.25">
      <c r="E5" s="5" t="s">
        <v>827</v>
      </c>
      <c r="F5" s="6">
        <v>140393</v>
      </c>
      <c r="H5" s="5" t="s">
        <v>850</v>
      </c>
      <c r="I5" s="6">
        <v>121905</v>
      </c>
      <c r="M5" s="5" t="s">
        <v>854</v>
      </c>
      <c r="N5" s="6">
        <v>212281</v>
      </c>
      <c r="P5" s="5" t="s">
        <v>314</v>
      </c>
      <c r="Q5" s="1">
        <v>28</v>
      </c>
      <c r="U5" s="5" t="s">
        <v>819</v>
      </c>
      <c r="V5" s="6">
        <v>313783</v>
      </c>
      <c r="X5" s="5" t="s">
        <v>819</v>
      </c>
      <c r="Y5" s="1">
        <v>45539</v>
      </c>
    </row>
    <row r="6" spans="1:25" x14ac:dyDescent="0.25">
      <c r="E6" s="5" t="s">
        <v>830</v>
      </c>
      <c r="F6" s="6">
        <v>150346</v>
      </c>
      <c r="H6" s="5" t="s">
        <v>896</v>
      </c>
      <c r="I6" s="6">
        <v>114476</v>
      </c>
      <c r="M6" s="5" t="s">
        <v>784</v>
      </c>
      <c r="N6" s="6">
        <v>297372</v>
      </c>
      <c r="P6" s="5" t="s">
        <v>220</v>
      </c>
      <c r="Q6" s="1">
        <v>21</v>
      </c>
      <c r="U6" s="5" t="s">
        <v>691</v>
      </c>
      <c r="V6" s="6">
        <v>574682</v>
      </c>
      <c r="X6" s="5" t="s">
        <v>691</v>
      </c>
      <c r="Y6" s="1">
        <v>87527</v>
      </c>
    </row>
    <row r="7" spans="1:25" x14ac:dyDescent="0.25">
      <c r="E7" s="5" t="s">
        <v>831</v>
      </c>
      <c r="F7" s="6">
        <v>157913</v>
      </c>
      <c r="H7" s="5" t="s">
        <v>994</v>
      </c>
      <c r="I7" s="6">
        <v>542226</v>
      </c>
      <c r="M7" s="5" t="s">
        <v>851</v>
      </c>
      <c r="N7" s="6">
        <v>740831</v>
      </c>
      <c r="P7" s="5" t="s">
        <v>291</v>
      </c>
      <c r="Q7" s="1">
        <v>20</v>
      </c>
      <c r="U7" s="5" t="s">
        <v>784</v>
      </c>
      <c r="V7" s="6">
        <v>631585</v>
      </c>
      <c r="X7" s="5" t="s">
        <v>784</v>
      </c>
      <c r="Y7" s="1">
        <v>68435</v>
      </c>
    </row>
    <row r="8" spans="1:25" x14ac:dyDescent="0.25">
      <c r="E8" s="5" t="s">
        <v>829</v>
      </c>
      <c r="F8" s="6">
        <v>135826</v>
      </c>
      <c r="M8" s="5" t="s">
        <v>860</v>
      </c>
      <c r="N8" s="6">
        <v>733842</v>
      </c>
      <c r="P8" s="5" t="s">
        <v>178</v>
      </c>
      <c r="Q8" s="1">
        <v>24</v>
      </c>
      <c r="U8" s="5" t="s">
        <v>610</v>
      </c>
      <c r="V8" s="6">
        <v>331930</v>
      </c>
      <c r="X8" s="5" t="s">
        <v>610</v>
      </c>
      <c r="Y8" s="1">
        <v>58367</v>
      </c>
    </row>
    <row r="9" spans="1:25" x14ac:dyDescent="0.25">
      <c r="E9" s="5" t="s">
        <v>785</v>
      </c>
      <c r="F9" s="6">
        <v>737389</v>
      </c>
      <c r="M9" s="5" t="s">
        <v>994</v>
      </c>
      <c r="N9" s="6">
        <v>3520984</v>
      </c>
      <c r="P9" s="5" t="s">
        <v>297</v>
      </c>
      <c r="Q9" s="1">
        <v>29</v>
      </c>
      <c r="U9" s="5" t="s">
        <v>994</v>
      </c>
      <c r="V9" s="6">
        <v>3520984</v>
      </c>
      <c r="X9" s="5" t="s">
        <v>994</v>
      </c>
      <c r="Y9" s="1">
        <v>500500</v>
      </c>
    </row>
    <row r="10" spans="1:25" x14ac:dyDescent="0.25">
      <c r="E10" s="5" t="s">
        <v>833</v>
      </c>
      <c r="F10" s="6">
        <v>136938</v>
      </c>
      <c r="P10" s="5" t="s">
        <v>148</v>
      </c>
      <c r="Q10" s="1">
        <v>27</v>
      </c>
    </row>
    <row r="11" spans="1:25" x14ac:dyDescent="0.25">
      <c r="E11" s="5" t="s">
        <v>835</v>
      </c>
      <c r="F11" s="6">
        <v>151619</v>
      </c>
      <c r="P11" s="5" t="s">
        <v>387</v>
      </c>
      <c r="Q11" s="1">
        <v>19</v>
      </c>
    </row>
    <row r="12" spans="1:25" x14ac:dyDescent="0.25">
      <c r="E12" s="5" t="s">
        <v>812</v>
      </c>
      <c r="F12" s="6">
        <v>449169</v>
      </c>
      <c r="P12" s="5" t="s">
        <v>994</v>
      </c>
      <c r="Q12" s="1">
        <v>225</v>
      </c>
      <c r="U12" s="4" t="s">
        <v>1014</v>
      </c>
      <c r="V12" t="s">
        <v>995</v>
      </c>
      <c r="X12" s="4" t="s">
        <v>1014</v>
      </c>
      <c r="Y12" t="s">
        <v>995</v>
      </c>
    </row>
    <row r="13" spans="1:25" x14ac:dyDescent="0.25">
      <c r="E13" s="5" t="s">
        <v>826</v>
      </c>
      <c r="F13" s="6">
        <v>149591</v>
      </c>
      <c r="U13" s="5" t="s">
        <v>1000</v>
      </c>
      <c r="V13" s="6">
        <v>628138</v>
      </c>
      <c r="X13" s="5">
        <v>0</v>
      </c>
      <c r="Y13" s="6">
        <v>99400</v>
      </c>
    </row>
    <row r="14" spans="1:25" x14ac:dyDescent="0.25">
      <c r="E14" s="5" t="s">
        <v>994</v>
      </c>
      <c r="F14" s="6">
        <v>3520984</v>
      </c>
      <c r="U14" s="5" t="s">
        <v>1001</v>
      </c>
      <c r="V14" s="6">
        <v>461670</v>
      </c>
      <c r="X14" s="5">
        <v>1</v>
      </c>
      <c r="Y14" s="6">
        <v>129309</v>
      </c>
    </row>
    <row r="15" spans="1:25" x14ac:dyDescent="0.25">
      <c r="U15" s="5" t="s">
        <v>1002</v>
      </c>
      <c r="V15" s="6">
        <v>677223</v>
      </c>
      <c r="X15" s="5">
        <v>2</v>
      </c>
      <c r="Y15" s="6">
        <v>152940</v>
      </c>
    </row>
    <row r="16" spans="1:25" x14ac:dyDescent="0.25">
      <c r="U16" s="5" t="s">
        <v>998</v>
      </c>
      <c r="V16" s="6">
        <v>415192</v>
      </c>
      <c r="X16" s="5">
        <v>3</v>
      </c>
      <c r="Y16" s="6">
        <v>146810</v>
      </c>
    </row>
    <row r="17" spans="21:25" x14ac:dyDescent="0.25">
      <c r="U17" s="5" t="s">
        <v>1003</v>
      </c>
      <c r="V17" s="6">
        <v>418354</v>
      </c>
      <c r="X17" s="5">
        <v>4</v>
      </c>
      <c r="Y17" s="6">
        <v>114700</v>
      </c>
    </row>
    <row r="18" spans="21:25" x14ac:dyDescent="0.25">
      <c r="U18" s="5" t="s">
        <v>999</v>
      </c>
      <c r="V18" s="6">
        <v>475447</v>
      </c>
      <c r="X18" s="5">
        <v>5</v>
      </c>
      <c r="Y18" s="6">
        <v>156198</v>
      </c>
    </row>
    <row r="19" spans="21:25" x14ac:dyDescent="0.25">
      <c r="U19" s="5" t="s">
        <v>997</v>
      </c>
      <c r="V19" s="6">
        <v>444960</v>
      </c>
      <c r="X19" s="5">
        <v>6</v>
      </c>
      <c r="Y19" s="6">
        <v>177211</v>
      </c>
    </row>
    <row r="20" spans="21:25" x14ac:dyDescent="0.25">
      <c r="U20" s="5" t="s">
        <v>994</v>
      </c>
      <c r="V20" s="6">
        <v>3520984</v>
      </c>
      <c r="X20" s="5">
        <v>7</v>
      </c>
      <c r="Y20" s="6">
        <v>147749</v>
      </c>
    </row>
    <row r="21" spans="21:25" x14ac:dyDescent="0.25">
      <c r="X21" s="5">
        <v>8</v>
      </c>
      <c r="Y21" s="6">
        <v>133617</v>
      </c>
    </row>
    <row r="22" spans="21:25" x14ac:dyDescent="0.25">
      <c r="X22" s="5">
        <v>9</v>
      </c>
      <c r="Y22" s="6">
        <v>153678</v>
      </c>
    </row>
    <row r="23" spans="21:25" x14ac:dyDescent="0.25">
      <c r="X23" s="5">
        <v>10</v>
      </c>
      <c r="Y23" s="6">
        <v>94985</v>
      </c>
    </row>
    <row r="24" spans="21:25" x14ac:dyDescent="0.25">
      <c r="X24" s="5">
        <v>11</v>
      </c>
      <c r="Y24" s="6">
        <v>130287</v>
      </c>
    </row>
    <row r="25" spans="21:25" x14ac:dyDescent="0.25">
      <c r="X25" s="5">
        <v>12</v>
      </c>
      <c r="Y25" s="6">
        <v>162394</v>
      </c>
    </row>
    <row r="26" spans="21:25" x14ac:dyDescent="0.25">
      <c r="X26" s="5">
        <v>13</v>
      </c>
      <c r="Y26" s="6">
        <v>152340</v>
      </c>
    </row>
    <row r="27" spans="21:25" x14ac:dyDescent="0.25">
      <c r="X27" s="5">
        <v>14</v>
      </c>
      <c r="Y27" s="6">
        <v>126406</v>
      </c>
    </row>
    <row r="28" spans="21:25" x14ac:dyDescent="0.25">
      <c r="X28" s="5">
        <v>15</v>
      </c>
      <c r="Y28" s="6">
        <v>163586</v>
      </c>
    </row>
    <row r="29" spans="21:25" x14ac:dyDescent="0.25">
      <c r="X29" s="5">
        <v>16</v>
      </c>
      <c r="Y29" s="6">
        <v>128797</v>
      </c>
    </row>
    <row r="30" spans="21:25" x14ac:dyDescent="0.25">
      <c r="X30" s="5">
        <v>17</v>
      </c>
      <c r="Y30" s="6">
        <v>155373</v>
      </c>
    </row>
    <row r="31" spans="21:25" x14ac:dyDescent="0.25">
      <c r="X31" s="5">
        <v>18</v>
      </c>
      <c r="Y31" s="6">
        <v>173118</v>
      </c>
    </row>
    <row r="32" spans="21:25" x14ac:dyDescent="0.25">
      <c r="X32" s="5">
        <v>19</v>
      </c>
      <c r="Y32" s="6">
        <v>185771</v>
      </c>
    </row>
    <row r="33" spans="24:25" x14ac:dyDescent="0.25">
      <c r="X33" s="5">
        <v>20</v>
      </c>
      <c r="Y33" s="6">
        <v>186426</v>
      </c>
    </row>
    <row r="34" spans="24:25" x14ac:dyDescent="0.25">
      <c r="X34" s="5">
        <v>21</v>
      </c>
      <c r="Y34" s="6">
        <v>155466</v>
      </c>
    </row>
    <row r="35" spans="24:25" x14ac:dyDescent="0.25">
      <c r="X35" s="5">
        <v>22</v>
      </c>
      <c r="Y35" s="6">
        <v>125912</v>
      </c>
    </row>
    <row r="36" spans="24:25" x14ac:dyDescent="0.25">
      <c r="X36" s="5">
        <v>23</v>
      </c>
      <c r="Y36" s="6">
        <v>168511</v>
      </c>
    </row>
    <row r="37" spans="24:25" x14ac:dyDescent="0.25">
      <c r="X37" s="5" t="s">
        <v>994</v>
      </c>
      <c r="Y37" s="6">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F856-5010-4E92-9348-A77E7FC77255}">
  <dimension ref="B1:AC37"/>
  <sheetViews>
    <sheetView showGridLines="0" tabSelected="1" workbookViewId="0">
      <selection activeCell="A2" sqref="A2"/>
    </sheetView>
  </sheetViews>
  <sheetFormatPr defaultRowHeight="15" x14ac:dyDescent="0.25"/>
  <sheetData>
    <row r="1" spans="2:29" ht="15.75" thickBot="1" x14ac:dyDescent="0.3"/>
    <row r="2" spans="2:29" x14ac:dyDescent="0.25">
      <c r="B2" s="29" t="s">
        <v>1017</v>
      </c>
      <c r="C2" s="30"/>
      <c r="D2" s="30"/>
      <c r="E2" s="30"/>
      <c r="F2" s="30"/>
      <c r="G2" s="30"/>
      <c r="H2" s="30"/>
      <c r="I2" s="30"/>
      <c r="J2" s="30"/>
      <c r="K2" s="30"/>
      <c r="L2" s="30"/>
      <c r="M2" s="30"/>
      <c r="N2" s="30"/>
      <c r="O2" s="30"/>
      <c r="P2" s="30"/>
      <c r="Q2" s="30"/>
      <c r="R2" s="30"/>
      <c r="S2" s="30"/>
      <c r="T2" s="30"/>
      <c r="U2" s="30"/>
      <c r="V2" s="30"/>
      <c r="W2" s="30"/>
      <c r="X2" s="30"/>
      <c r="Y2" s="30"/>
      <c r="Z2" s="30"/>
      <c r="AA2" s="30"/>
      <c r="AB2" s="30"/>
      <c r="AC2" s="31"/>
    </row>
    <row r="3" spans="2:29" ht="15.75" thickBot="1" x14ac:dyDescent="0.3">
      <c r="B3" s="32"/>
      <c r="C3" s="33"/>
      <c r="D3" s="33"/>
      <c r="E3" s="33"/>
      <c r="F3" s="33"/>
      <c r="G3" s="33"/>
      <c r="H3" s="33"/>
      <c r="I3" s="33"/>
      <c r="J3" s="33"/>
      <c r="K3" s="33"/>
      <c r="L3" s="33"/>
      <c r="M3" s="33"/>
      <c r="N3" s="33"/>
      <c r="O3" s="33"/>
      <c r="P3" s="33"/>
      <c r="Q3" s="33"/>
      <c r="R3" s="33"/>
      <c r="S3" s="33"/>
      <c r="T3" s="33"/>
      <c r="U3" s="33"/>
      <c r="V3" s="33"/>
      <c r="W3" s="33"/>
      <c r="X3" s="33"/>
      <c r="Y3" s="33"/>
      <c r="Z3" s="33"/>
      <c r="AA3" s="33"/>
      <c r="AB3" s="33"/>
      <c r="AC3" s="34"/>
    </row>
    <row r="4" spans="2:29" x14ac:dyDescent="0.25">
      <c r="B4" s="20"/>
      <c r="C4" s="21"/>
      <c r="D4" s="21"/>
      <c r="E4" s="21"/>
      <c r="F4" s="21"/>
      <c r="G4" s="21"/>
      <c r="H4" s="21"/>
      <c r="I4" s="21"/>
      <c r="J4" s="21"/>
      <c r="K4" s="21"/>
      <c r="L4" s="21"/>
      <c r="M4" s="21"/>
      <c r="N4" s="21"/>
      <c r="O4" s="21"/>
      <c r="P4" s="21"/>
      <c r="Q4" s="21"/>
      <c r="R4" s="22"/>
      <c r="S4" s="22"/>
      <c r="T4" s="22"/>
      <c r="U4" s="22"/>
      <c r="V4" s="22"/>
      <c r="W4" s="22"/>
      <c r="X4" s="22"/>
      <c r="Y4" s="22"/>
      <c r="Z4" s="22"/>
      <c r="AA4" s="22"/>
      <c r="AB4" s="22"/>
      <c r="AC4" s="23"/>
    </row>
    <row r="5" spans="2:29" x14ac:dyDescent="0.25">
      <c r="B5" s="20"/>
      <c r="C5" s="24"/>
      <c r="D5" s="7" t="s">
        <v>1004</v>
      </c>
      <c r="E5" s="8"/>
      <c r="F5" s="9">
        <f>GETPIVOTDATA("[Measures].[Sum of Revenue]",Sheet1!$A$1)</f>
        <v>3520984</v>
      </c>
      <c r="G5" s="9"/>
      <c r="H5" s="10"/>
      <c r="I5" s="21"/>
      <c r="J5" s="21"/>
      <c r="K5" s="21"/>
      <c r="L5" s="15" t="s">
        <v>1015</v>
      </c>
      <c r="M5" s="15"/>
      <c r="N5" s="15"/>
      <c r="O5" s="15">
        <f>GETPIVOTDATA("[Measures].[Average of diff-delivery-orders]",Sheet1!$C$1)</f>
        <v>5.53</v>
      </c>
      <c r="P5" s="15"/>
      <c r="Q5" s="21"/>
      <c r="R5" s="22"/>
      <c r="S5" s="22"/>
      <c r="T5" s="7" t="s">
        <v>1016</v>
      </c>
      <c r="U5" s="16"/>
      <c r="V5" s="8"/>
      <c r="W5" s="17">
        <f>GETPIVOTDATA("[Measures].[Average of Revenue]",Sheet1!$K$1)</f>
        <v>3520.9839999999999</v>
      </c>
      <c r="X5" s="10"/>
      <c r="Y5" s="22"/>
      <c r="Z5" s="22"/>
      <c r="AA5" s="22"/>
      <c r="AB5" s="22"/>
      <c r="AC5" s="23"/>
    </row>
    <row r="6" spans="2:29" x14ac:dyDescent="0.25">
      <c r="B6" s="20"/>
      <c r="C6" s="24"/>
      <c r="D6" s="11"/>
      <c r="E6" s="12"/>
      <c r="F6" s="13"/>
      <c r="G6" s="13"/>
      <c r="H6" s="14"/>
      <c r="I6" s="21"/>
      <c r="J6" s="21"/>
      <c r="K6" s="21"/>
      <c r="L6" s="15"/>
      <c r="M6" s="15"/>
      <c r="N6" s="15"/>
      <c r="O6" s="15"/>
      <c r="P6" s="15"/>
      <c r="Q6" s="21"/>
      <c r="R6" s="22"/>
      <c r="S6" s="22"/>
      <c r="T6" s="11"/>
      <c r="U6" s="18"/>
      <c r="V6" s="12"/>
      <c r="W6" s="19"/>
      <c r="X6" s="14"/>
      <c r="Y6" s="22"/>
      <c r="Z6" s="22"/>
      <c r="AA6" s="22"/>
      <c r="AB6" s="22"/>
      <c r="AC6" s="23"/>
    </row>
    <row r="7" spans="2:29" x14ac:dyDescent="0.25">
      <c r="B7" s="20"/>
      <c r="C7" s="21"/>
      <c r="D7" s="21"/>
      <c r="E7" s="21"/>
      <c r="F7" s="21"/>
      <c r="G7" s="21"/>
      <c r="H7" s="21"/>
      <c r="I7" s="21"/>
      <c r="J7" s="21"/>
      <c r="K7" s="21"/>
      <c r="L7" s="21"/>
      <c r="M7" s="21"/>
      <c r="N7" s="21"/>
      <c r="O7" s="21"/>
      <c r="P7" s="21"/>
      <c r="Q7" s="21"/>
      <c r="R7" s="22"/>
      <c r="S7" s="22"/>
      <c r="T7" s="22"/>
      <c r="U7" s="22"/>
      <c r="V7" s="22"/>
      <c r="W7" s="22"/>
      <c r="X7" s="22"/>
      <c r="Y7" s="22"/>
      <c r="Z7" s="22"/>
      <c r="AA7" s="22"/>
      <c r="AB7" s="22"/>
      <c r="AC7" s="23"/>
    </row>
    <row r="8" spans="2:29" x14ac:dyDescent="0.25">
      <c r="B8" s="20"/>
      <c r="C8" s="21"/>
      <c r="D8" s="21"/>
      <c r="E8" s="21"/>
      <c r="F8" s="21"/>
      <c r="G8" s="21"/>
      <c r="H8" s="21"/>
      <c r="I8" s="21"/>
      <c r="J8" s="21"/>
      <c r="K8" s="21"/>
      <c r="L8" s="21"/>
      <c r="M8" s="21"/>
      <c r="N8" s="21"/>
      <c r="O8" s="21"/>
      <c r="P8" s="21"/>
      <c r="Q8" s="21"/>
      <c r="R8" s="22"/>
      <c r="S8" s="22"/>
      <c r="T8" s="22"/>
      <c r="U8" s="22"/>
      <c r="V8" s="22"/>
      <c r="W8" s="22"/>
      <c r="X8" s="22"/>
      <c r="Y8" s="22"/>
      <c r="Z8" s="22"/>
      <c r="AA8" s="22"/>
      <c r="AB8" s="22"/>
      <c r="AC8" s="23"/>
    </row>
    <row r="9" spans="2:29" x14ac:dyDescent="0.25">
      <c r="B9" s="20"/>
      <c r="C9" s="21"/>
      <c r="D9" s="21"/>
      <c r="E9" s="21"/>
      <c r="F9" s="21"/>
      <c r="G9" s="21"/>
      <c r="H9" s="21"/>
      <c r="I9" s="21"/>
      <c r="J9" s="21"/>
      <c r="K9" s="21"/>
      <c r="L9" s="21"/>
      <c r="M9" s="21"/>
      <c r="N9" s="21"/>
      <c r="O9" s="21"/>
      <c r="P9" s="21"/>
      <c r="Q9" s="21"/>
      <c r="R9" s="22"/>
      <c r="S9" s="22"/>
      <c r="T9" s="22"/>
      <c r="U9" s="22"/>
      <c r="V9" s="22"/>
      <c r="W9" s="22"/>
      <c r="X9" s="22"/>
      <c r="Y9" s="22"/>
      <c r="Z9" s="22"/>
      <c r="AA9" s="22"/>
      <c r="AB9" s="22"/>
      <c r="AC9" s="23"/>
    </row>
    <row r="10" spans="2:29" x14ac:dyDescent="0.25">
      <c r="B10" s="20"/>
      <c r="C10" s="21"/>
      <c r="D10" s="21"/>
      <c r="E10" s="21"/>
      <c r="F10" s="21"/>
      <c r="G10" s="21"/>
      <c r="H10" s="21"/>
      <c r="I10" s="21"/>
      <c r="J10" s="21"/>
      <c r="K10" s="21"/>
      <c r="L10" s="21"/>
      <c r="M10" s="21"/>
      <c r="N10" s="21"/>
      <c r="O10" s="21"/>
      <c r="P10" s="21"/>
      <c r="Q10" s="21"/>
      <c r="R10" s="22"/>
      <c r="S10" s="22"/>
      <c r="T10" s="22"/>
      <c r="U10" s="22"/>
      <c r="V10" s="22"/>
      <c r="W10" s="22"/>
      <c r="X10" s="22"/>
      <c r="Y10" s="22"/>
      <c r="Z10" s="22"/>
      <c r="AA10" s="22"/>
      <c r="AB10" s="22"/>
      <c r="AC10" s="23"/>
    </row>
    <row r="11" spans="2:29" x14ac:dyDescent="0.25">
      <c r="B11" s="20"/>
      <c r="C11" s="21"/>
      <c r="D11" s="21"/>
      <c r="E11" s="21"/>
      <c r="F11" s="21"/>
      <c r="G11" s="21"/>
      <c r="H11" s="21"/>
      <c r="I11" s="21"/>
      <c r="J11" s="21"/>
      <c r="K11" s="21"/>
      <c r="L11" s="21"/>
      <c r="M11" s="21"/>
      <c r="N11" s="21"/>
      <c r="O11" s="21"/>
      <c r="P11" s="21"/>
      <c r="Q11" s="21"/>
      <c r="R11" s="22"/>
      <c r="S11" s="22"/>
      <c r="T11" s="22"/>
      <c r="U11" s="22"/>
      <c r="V11" s="22"/>
      <c r="W11" s="22"/>
      <c r="X11" s="22"/>
      <c r="Y11" s="22"/>
      <c r="Z11" s="22"/>
      <c r="AA11" s="22"/>
      <c r="AB11" s="22"/>
      <c r="AC11" s="23"/>
    </row>
    <row r="12" spans="2:29" x14ac:dyDescent="0.25">
      <c r="B12" s="20"/>
      <c r="C12" s="21"/>
      <c r="D12" s="21"/>
      <c r="E12" s="21"/>
      <c r="F12" s="21"/>
      <c r="G12" s="21"/>
      <c r="H12" s="21"/>
      <c r="I12" s="21"/>
      <c r="J12" s="21"/>
      <c r="K12" s="21"/>
      <c r="L12" s="21"/>
      <c r="M12" s="21"/>
      <c r="N12" s="21"/>
      <c r="O12" s="21"/>
      <c r="P12" s="21"/>
      <c r="Q12" s="21"/>
      <c r="R12" s="22"/>
      <c r="S12" s="22"/>
      <c r="T12" s="22"/>
      <c r="U12" s="22"/>
      <c r="V12" s="22"/>
      <c r="W12" s="22"/>
      <c r="X12" s="22"/>
      <c r="Y12" s="22"/>
      <c r="Z12" s="22"/>
      <c r="AA12" s="22"/>
      <c r="AB12" s="22"/>
      <c r="AC12" s="23"/>
    </row>
    <row r="13" spans="2:29" x14ac:dyDescent="0.25">
      <c r="B13" s="20"/>
      <c r="C13" s="21"/>
      <c r="D13" s="21"/>
      <c r="E13" s="21"/>
      <c r="F13" s="21"/>
      <c r="G13" s="21"/>
      <c r="H13" s="21"/>
      <c r="I13" s="21"/>
      <c r="J13" s="21"/>
      <c r="K13" s="21"/>
      <c r="L13" s="21"/>
      <c r="M13" s="21"/>
      <c r="N13" s="21"/>
      <c r="O13" s="21"/>
      <c r="P13" s="21"/>
      <c r="Q13" s="21"/>
      <c r="R13" s="22"/>
      <c r="S13" s="22"/>
      <c r="T13" s="22"/>
      <c r="U13" s="22"/>
      <c r="V13" s="22"/>
      <c r="W13" s="22"/>
      <c r="X13" s="22"/>
      <c r="Y13" s="22"/>
      <c r="Z13" s="22"/>
      <c r="AA13" s="22"/>
      <c r="AB13" s="22"/>
      <c r="AC13" s="23"/>
    </row>
    <row r="14" spans="2:29" x14ac:dyDescent="0.25">
      <c r="B14" s="20"/>
      <c r="C14" s="21"/>
      <c r="D14" s="21"/>
      <c r="E14" s="21"/>
      <c r="F14" s="21"/>
      <c r="G14" s="21"/>
      <c r="H14" s="21"/>
      <c r="I14" s="21"/>
      <c r="J14" s="21"/>
      <c r="K14" s="21"/>
      <c r="L14" s="21"/>
      <c r="M14" s="21"/>
      <c r="N14" s="21"/>
      <c r="O14" s="21"/>
      <c r="P14" s="21"/>
      <c r="Q14" s="21"/>
      <c r="R14" s="22"/>
      <c r="S14" s="22"/>
      <c r="T14" s="22"/>
      <c r="U14" s="22"/>
      <c r="V14" s="22"/>
      <c r="W14" s="22"/>
      <c r="X14" s="22"/>
      <c r="Y14" s="22"/>
      <c r="Z14" s="22"/>
      <c r="AA14" s="22"/>
      <c r="AB14" s="22"/>
      <c r="AC14" s="23"/>
    </row>
    <row r="15" spans="2:29" x14ac:dyDescent="0.25">
      <c r="B15" s="20"/>
      <c r="C15" s="21"/>
      <c r="D15" s="21"/>
      <c r="E15" s="21"/>
      <c r="F15" s="21"/>
      <c r="G15" s="21"/>
      <c r="H15" s="21"/>
      <c r="I15" s="21"/>
      <c r="J15" s="21"/>
      <c r="K15" s="21"/>
      <c r="L15" s="21"/>
      <c r="M15" s="21"/>
      <c r="N15" s="21"/>
      <c r="O15" s="21"/>
      <c r="P15" s="21"/>
      <c r="Q15" s="21"/>
      <c r="R15" s="22"/>
      <c r="S15" s="22"/>
      <c r="T15" s="22"/>
      <c r="U15" s="22"/>
      <c r="V15" s="22"/>
      <c r="W15" s="22"/>
      <c r="X15" s="22"/>
      <c r="Y15" s="22"/>
      <c r="Z15" s="22"/>
      <c r="AA15" s="22"/>
      <c r="AB15" s="22"/>
      <c r="AC15" s="23"/>
    </row>
    <row r="16" spans="2:29" x14ac:dyDescent="0.25">
      <c r="B16" s="20"/>
      <c r="C16" s="21"/>
      <c r="D16" s="21"/>
      <c r="E16" s="21"/>
      <c r="F16" s="21"/>
      <c r="G16" s="21"/>
      <c r="H16" s="21"/>
      <c r="I16" s="21"/>
      <c r="J16" s="21"/>
      <c r="K16" s="21"/>
      <c r="L16" s="21"/>
      <c r="M16" s="21"/>
      <c r="N16" s="21"/>
      <c r="O16" s="21"/>
      <c r="P16" s="21"/>
      <c r="Q16" s="21"/>
      <c r="R16" s="22"/>
      <c r="S16" s="22"/>
      <c r="T16" s="22"/>
      <c r="U16" s="22"/>
      <c r="V16" s="22"/>
      <c r="W16" s="22"/>
      <c r="X16" s="22"/>
      <c r="Y16" s="22"/>
      <c r="Z16" s="22"/>
      <c r="AA16" s="22"/>
      <c r="AB16" s="22"/>
      <c r="AC16" s="23"/>
    </row>
    <row r="17" spans="2:29" x14ac:dyDescent="0.25">
      <c r="B17" s="20"/>
      <c r="C17" s="21"/>
      <c r="D17" s="21"/>
      <c r="E17" s="21"/>
      <c r="F17" s="21"/>
      <c r="G17" s="21"/>
      <c r="H17" s="21"/>
      <c r="I17" s="21"/>
      <c r="J17" s="21"/>
      <c r="K17" s="21"/>
      <c r="L17" s="21"/>
      <c r="M17" s="21"/>
      <c r="N17" s="21"/>
      <c r="O17" s="21"/>
      <c r="P17" s="21"/>
      <c r="Q17" s="21"/>
      <c r="R17" s="22"/>
      <c r="S17" s="22"/>
      <c r="T17" s="22"/>
      <c r="U17" s="22"/>
      <c r="V17" s="22"/>
      <c r="W17" s="22"/>
      <c r="X17" s="22"/>
      <c r="Y17" s="22"/>
      <c r="Z17" s="22"/>
      <c r="AA17" s="22"/>
      <c r="AB17" s="22"/>
      <c r="AC17" s="23"/>
    </row>
    <row r="18" spans="2:29" x14ac:dyDescent="0.25">
      <c r="B18" s="20"/>
      <c r="C18" s="21"/>
      <c r="D18" s="21"/>
      <c r="E18" s="21"/>
      <c r="F18" s="21"/>
      <c r="G18" s="21"/>
      <c r="H18" s="21"/>
      <c r="I18" s="21"/>
      <c r="J18" s="21"/>
      <c r="K18" s="21"/>
      <c r="L18" s="21"/>
      <c r="M18" s="21"/>
      <c r="N18" s="21"/>
      <c r="O18" s="21"/>
      <c r="P18" s="21"/>
      <c r="Q18" s="21"/>
      <c r="R18" s="22"/>
      <c r="S18" s="22"/>
      <c r="T18" s="22"/>
      <c r="U18" s="22"/>
      <c r="V18" s="22"/>
      <c r="W18" s="22"/>
      <c r="X18" s="22"/>
      <c r="Y18" s="22"/>
      <c r="Z18" s="22"/>
      <c r="AA18" s="22"/>
      <c r="AB18" s="22"/>
      <c r="AC18" s="23"/>
    </row>
    <row r="19" spans="2:29" x14ac:dyDescent="0.25">
      <c r="B19" s="20"/>
      <c r="C19" s="21"/>
      <c r="D19" s="21"/>
      <c r="E19" s="21"/>
      <c r="F19" s="21"/>
      <c r="G19" s="21"/>
      <c r="H19" s="21"/>
      <c r="I19" s="21"/>
      <c r="J19" s="21"/>
      <c r="K19" s="21"/>
      <c r="L19" s="21"/>
      <c r="M19" s="21"/>
      <c r="N19" s="21"/>
      <c r="O19" s="21"/>
      <c r="P19" s="21"/>
      <c r="Q19" s="21"/>
      <c r="R19" s="22"/>
      <c r="S19" s="22"/>
      <c r="T19" s="22"/>
      <c r="U19" s="22"/>
      <c r="V19" s="22"/>
      <c r="W19" s="22"/>
      <c r="X19" s="22"/>
      <c r="Y19" s="22"/>
      <c r="Z19" s="22"/>
      <c r="AA19" s="22"/>
      <c r="AB19" s="22"/>
      <c r="AC19" s="23"/>
    </row>
    <row r="20" spans="2:29" x14ac:dyDescent="0.25">
      <c r="B20" s="20"/>
      <c r="C20" s="21"/>
      <c r="D20" s="21"/>
      <c r="E20" s="21"/>
      <c r="F20" s="21"/>
      <c r="G20" s="21"/>
      <c r="H20" s="21"/>
      <c r="I20" s="21"/>
      <c r="J20" s="21"/>
      <c r="K20" s="21"/>
      <c r="L20" s="21"/>
      <c r="M20" s="21"/>
      <c r="N20" s="21"/>
      <c r="O20" s="21"/>
      <c r="P20" s="21"/>
      <c r="Q20" s="21"/>
      <c r="R20" s="22"/>
      <c r="S20" s="22"/>
      <c r="T20" s="22"/>
      <c r="U20" s="22"/>
      <c r="V20" s="22"/>
      <c r="W20" s="22"/>
      <c r="X20" s="22"/>
      <c r="Y20" s="22"/>
      <c r="Z20" s="22"/>
      <c r="AA20" s="22"/>
      <c r="AB20" s="22"/>
      <c r="AC20" s="23"/>
    </row>
    <row r="21" spans="2:29" x14ac:dyDescent="0.25">
      <c r="B21" s="20"/>
      <c r="C21" s="21"/>
      <c r="D21" s="21"/>
      <c r="E21" s="21"/>
      <c r="F21" s="21"/>
      <c r="G21" s="21"/>
      <c r="H21" s="21"/>
      <c r="I21" s="21"/>
      <c r="J21" s="21"/>
      <c r="K21" s="21"/>
      <c r="L21" s="21"/>
      <c r="M21" s="21"/>
      <c r="N21" s="21"/>
      <c r="O21" s="21"/>
      <c r="P21" s="21"/>
      <c r="Q21" s="21"/>
      <c r="R21" s="22"/>
      <c r="S21" s="22"/>
      <c r="T21" s="22"/>
      <c r="U21" s="22"/>
      <c r="V21" s="22"/>
      <c r="W21" s="22"/>
      <c r="X21" s="22"/>
      <c r="Y21" s="22"/>
      <c r="Z21" s="22"/>
      <c r="AA21" s="22"/>
      <c r="AB21" s="22"/>
      <c r="AC21" s="23"/>
    </row>
    <row r="22" spans="2:29" x14ac:dyDescent="0.25">
      <c r="B22" s="20"/>
      <c r="C22" s="21"/>
      <c r="D22" s="21"/>
      <c r="E22" s="21"/>
      <c r="F22" s="21"/>
      <c r="G22" s="21"/>
      <c r="H22" s="21"/>
      <c r="I22" s="21"/>
      <c r="J22" s="21"/>
      <c r="K22" s="21"/>
      <c r="L22" s="21"/>
      <c r="M22" s="21"/>
      <c r="N22" s="21"/>
      <c r="O22" s="21"/>
      <c r="P22" s="21"/>
      <c r="Q22" s="21"/>
      <c r="R22" s="22"/>
      <c r="S22" s="22"/>
      <c r="T22" s="22"/>
      <c r="U22" s="22"/>
      <c r="V22" s="22"/>
      <c r="W22" s="22"/>
      <c r="X22" s="22"/>
      <c r="Y22" s="22"/>
      <c r="Z22" s="22"/>
      <c r="AA22" s="22"/>
      <c r="AB22" s="22"/>
      <c r="AC22" s="23"/>
    </row>
    <row r="23" spans="2:29" x14ac:dyDescent="0.25">
      <c r="B23" s="20"/>
      <c r="C23" s="21"/>
      <c r="D23" s="21"/>
      <c r="E23" s="21"/>
      <c r="F23" s="21"/>
      <c r="G23" s="21"/>
      <c r="H23" s="21"/>
      <c r="I23" s="21"/>
      <c r="J23" s="21"/>
      <c r="K23" s="21"/>
      <c r="L23" s="21"/>
      <c r="M23" s="21"/>
      <c r="N23" s="21"/>
      <c r="O23" s="21"/>
      <c r="P23" s="21"/>
      <c r="Q23" s="21"/>
      <c r="R23" s="22"/>
      <c r="S23" s="22"/>
      <c r="T23" s="22"/>
      <c r="U23" s="22"/>
      <c r="V23" s="22"/>
      <c r="W23" s="22"/>
      <c r="X23" s="22"/>
      <c r="Y23" s="22"/>
      <c r="Z23" s="22"/>
      <c r="AA23" s="22"/>
      <c r="AB23" s="22"/>
      <c r="AC23" s="23"/>
    </row>
    <row r="24" spans="2:29" x14ac:dyDescent="0.25">
      <c r="B24" s="20"/>
      <c r="C24" s="21"/>
      <c r="D24" s="21"/>
      <c r="E24" s="21"/>
      <c r="F24" s="21"/>
      <c r="G24" s="21"/>
      <c r="H24" s="21"/>
      <c r="I24" s="21"/>
      <c r="J24" s="21"/>
      <c r="K24" s="21"/>
      <c r="L24" s="21"/>
      <c r="M24" s="21"/>
      <c r="N24" s="21"/>
      <c r="O24" s="21"/>
      <c r="P24" s="21"/>
      <c r="Q24" s="21"/>
      <c r="R24" s="22"/>
      <c r="S24" s="22"/>
      <c r="T24" s="22"/>
      <c r="U24" s="22"/>
      <c r="V24" s="22"/>
      <c r="W24" s="22"/>
      <c r="X24" s="22"/>
      <c r="Y24" s="22"/>
      <c r="Z24" s="22"/>
      <c r="AA24" s="22"/>
      <c r="AB24" s="22"/>
      <c r="AC24" s="23"/>
    </row>
    <row r="25" spans="2:29" x14ac:dyDescent="0.25">
      <c r="B25" s="20"/>
      <c r="C25" s="21"/>
      <c r="D25" s="21"/>
      <c r="E25" s="21"/>
      <c r="F25" s="21"/>
      <c r="G25" s="21"/>
      <c r="H25" s="21"/>
      <c r="I25" s="21"/>
      <c r="J25" s="21"/>
      <c r="K25" s="21"/>
      <c r="L25" s="21"/>
      <c r="M25" s="21"/>
      <c r="N25" s="21"/>
      <c r="O25" s="21"/>
      <c r="P25" s="21"/>
      <c r="Q25" s="21"/>
      <c r="R25" s="22"/>
      <c r="S25" s="22"/>
      <c r="T25" s="22"/>
      <c r="U25" s="22"/>
      <c r="V25" s="22"/>
      <c r="W25" s="22"/>
      <c r="X25" s="22"/>
      <c r="Y25" s="22"/>
      <c r="Z25" s="22"/>
      <c r="AA25" s="22"/>
      <c r="AB25" s="22"/>
      <c r="AC25" s="23"/>
    </row>
    <row r="26" spans="2:29" x14ac:dyDescent="0.25">
      <c r="B26" s="20"/>
      <c r="C26" s="21"/>
      <c r="D26" s="21"/>
      <c r="E26" s="21"/>
      <c r="F26" s="21"/>
      <c r="G26" s="21"/>
      <c r="H26" s="21"/>
      <c r="I26" s="21"/>
      <c r="J26" s="21"/>
      <c r="K26" s="21"/>
      <c r="L26" s="21"/>
      <c r="M26" s="21"/>
      <c r="N26" s="21"/>
      <c r="O26" s="21"/>
      <c r="P26" s="21"/>
      <c r="Q26" s="21"/>
      <c r="R26" s="22"/>
      <c r="S26" s="22"/>
      <c r="T26" s="22"/>
      <c r="U26" s="22"/>
      <c r="V26" s="22"/>
      <c r="W26" s="22"/>
      <c r="X26" s="22"/>
      <c r="Y26" s="22"/>
      <c r="Z26" s="22"/>
      <c r="AA26" s="22"/>
      <c r="AB26" s="22"/>
      <c r="AC26" s="23"/>
    </row>
    <row r="27" spans="2:29" x14ac:dyDescent="0.25">
      <c r="B27" s="20"/>
      <c r="C27" s="21"/>
      <c r="D27" s="21"/>
      <c r="E27" s="21"/>
      <c r="F27" s="21"/>
      <c r="G27" s="21"/>
      <c r="H27" s="21"/>
      <c r="I27" s="21"/>
      <c r="J27" s="21"/>
      <c r="K27" s="21"/>
      <c r="L27" s="21"/>
      <c r="M27" s="21"/>
      <c r="N27" s="21"/>
      <c r="O27" s="21"/>
      <c r="P27" s="21"/>
      <c r="Q27" s="21"/>
      <c r="R27" s="22"/>
      <c r="S27" s="22"/>
      <c r="T27" s="22"/>
      <c r="U27" s="22"/>
      <c r="V27" s="22"/>
      <c r="W27" s="22"/>
      <c r="X27" s="22"/>
      <c r="Y27" s="22"/>
      <c r="Z27" s="22"/>
      <c r="AA27" s="22"/>
      <c r="AB27" s="22"/>
      <c r="AC27" s="23"/>
    </row>
    <row r="28" spans="2:29" x14ac:dyDescent="0.25">
      <c r="B28" s="20"/>
      <c r="C28" s="21"/>
      <c r="D28" s="21"/>
      <c r="E28" s="21"/>
      <c r="F28" s="21"/>
      <c r="G28" s="21"/>
      <c r="H28" s="21"/>
      <c r="I28" s="21"/>
      <c r="J28" s="21"/>
      <c r="K28" s="21"/>
      <c r="L28" s="21"/>
      <c r="M28" s="21"/>
      <c r="N28" s="21"/>
      <c r="O28" s="21"/>
      <c r="P28" s="21"/>
      <c r="Q28" s="21"/>
      <c r="R28" s="22"/>
      <c r="S28" s="22"/>
      <c r="T28" s="22"/>
      <c r="U28" s="22"/>
      <c r="V28" s="22"/>
      <c r="W28" s="22"/>
      <c r="X28" s="22"/>
      <c r="Y28" s="22"/>
      <c r="Z28" s="22"/>
      <c r="AA28" s="22"/>
      <c r="AB28" s="22"/>
      <c r="AC28" s="23"/>
    </row>
    <row r="29" spans="2:29" x14ac:dyDescent="0.25">
      <c r="B29" s="20"/>
      <c r="C29" s="21"/>
      <c r="D29" s="21"/>
      <c r="E29" s="21"/>
      <c r="F29" s="21"/>
      <c r="G29" s="21"/>
      <c r="H29" s="21"/>
      <c r="I29" s="21"/>
      <c r="J29" s="21"/>
      <c r="K29" s="21"/>
      <c r="L29" s="21"/>
      <c r="M29" s="21"/>
      <c r="N29" s="21"/>
      <c r="O29" s="21"/>
      <c r="P29" s="21"/>
      <c r="Q29" s="21"/>
      <c r="R29" s="22"/>
      <c r="S29" s="22"/>
      <c r="T29" s="22"/>
      <c r="U29" s="22"/>
      <c r="V29" s="22"/>
      <c r="W29" s="22"/>
      <c r="X29" s="22"/>
      <c r="Y29" s="22"/>
      <c r="Z29" s="22"/>
      <c r="AA29" s="22"/>
      <c r="AB29" s="22"/>
      <c r="AC29" s="23"/>
    </row>
    <row r="30" spans="2:29" x14ac:dyDescent="0.25">
      <c r="B30" s="25"/>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3"/>
    </row>
    <row r="31" spans="2:29" x14ac:dyDescent="0.25">
      <c r="B31" s="25"/>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3"/>
    </row>
    <row r="32" spans="2:29" x14ac:dyDescent="0.25">
      <c r="B32" s="25"/>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3"/>
    </row>
    <row r="33" spans="2:29" x14ac:dyDescent="0.25">
      <c r="B33" s="25"/>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3"/>
    </row>
    <row r="34" spans="2:29" x14ac:dyDescent="0.25">
      <c r="B34" s="25"/>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3"/>
    </row>
    <row r="35" spans="2:29" x14ac:dyDescent="0.25">
      <c r="B35" s="25"/>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3"/>
    </row>
    <row r="36" spans="2:29" x14ac:dyDescent="0.25">
      <c r="B36" s="25"/>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3"/>
    </row>
    <row r="37" spans="2:29" ht="15.75" thickBot="1" x14ac:dyDescent="0.3">
      <c r="B37" s="26"/>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8"/>
    </row>
  </sheetData>
  <mergeCells count="7">
    <mergeCell ref="L5:N6"/>
    <mergeCell ref="O5:P6"/>
    <mergeCell ref="T5:V6"/>
    <mergeCell ref="W5:X6"/>
    <mergeCell ref="B2:AC3"/>
    <mergeCell ref="D5:E6"/>
    <mergeCell ref="F5:H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274644B-FFB2-4A86-8677-D4EE1E095EC1}">
  <ds:schemaRefs>
    <ds:schemaRef ds:uri="http://schemas.microsoft.com/DataMashup"/>
  </ds:schemaRefs>
</ds:datastoreItem>
</file>

<file path=customXml/itemProps2.xml><?xml version="1.0" encoding="utf-8"?>
<ds:datastoreItem xmlns:ds="http://schemas.openxmlformats.org/officeDocument/2006/customXml" ds:itemID="{77B63D96-846A-43BB-BB59-8CD6226408A0}">
  <ds:schemaRefs/>
</ds:datastoreItem>
</file>

<file path=customXml/itemProps3.xml><?xml version="1.0" encoding="utf-8"?>
<ds:datastoreItem xmlns:ds="http://schemas.openxmlformats.org/officeDocument/2006/customXml" ds:itemID="{9B88EF98-671A-4238-A7C9-BA356FBE82C0}">
  <ds:schemaRefs/>
</ds:datastoreItem>
</file>

<file path=customXml/itemProps4.xml><?xml version="1.0" encoding="utf-8"?>
<ds:datastoreItem xmlns:ds="http://schemas.openxmlformats.org/officeDocument/2006/customXml" ds:itemID="{71F4C292-2E7D-4F98-89FE-F45B2A48F038}">
  <ds:schemaRefs/>
</ds:datastoreItem>
</file>

<file path=customXml/itemProps5.xml><?xml version="1.0" encoding="utf-8"?>
<ds:datastoreItem xmlns:ds="http://schemas.openxmlformats.org/officeDocument/2006/customXml" ds:itemID="{5CBD9B98-14D5-4B18-84D7-DCC638BF13A4}">
  <ds:schemaRefs/>
</ds:datastoreItem>
</file>

<file path=customXml/itemProps6.xml><?xml version="1.0" encoding="utf-8"?>
<ds:datastoreItem xmlns:ds="http://schemas.openxmlformats.org/officeDocument/2006/customXml" ds:itemID="{F3ACD254-F8EE-49FC-92DE-01166CBF0DEC}">
  <ds:schemaRefs/>
</ds:datastoreItem>
</file>

<file path=customXml/itemProps7.xml><?xml version="1.0" encoding="utf-8"?>
<ds:datastoreItem xmlns:ds="http://schemas.openxmlformats.org/officeDocument/2006/customXml" ds:itemID="{722FD8E7-399E-4770-93D0-8CB84E3E9631}">
  <ds:schemaRefs/>
</ds:datastoreItem>
</file>

<file path=customXml/itemProps8.xml><?xml version="1.0" encoding="utf-8"?>
<ds:datastoreItem xmlns:ds="http://schemas.openxmlformats.org/officeDocument/2006/customXml" ds:itemID="{C012867C-B2F2-423B-8796-91EBCD5F65D4}">
  <ds:schemaRefs/>
</ds:datastoreItem>
</file>

<file path=customXml/itemProps9.xml><?xml version="1.0" encoding="utf-8"?>
<ds:datastoreItem xmlns:ds="http://schemas.openxmlformats.org/officeDocument/2006/customXml" ds:itemID="{B82CB6AC-5730-4C70-BB03-E53A9E51F81A}">
  <ds:schemaRefs/>
</ds:datastoreItem>
</file>

<file path=customXml/itemProps10.xml><?xml version="1.0" encoding="utf-8"?>
<ds:datastoreItem xmlns:ds="http://schemas.openxmlformats.org/officeDocument/2006/customXml" ds:itemID="{F8E1539D-4841-433D-9E07-58F9182B0A94}">
  <ds:schemaRefs/>
</ds:datastoreItem>
</file>

<file path=customXml/itemProps11.xml><?xml version="1.0" encoding="utf-8"?>
<ds:datastoreItem xmlns:ds="http://schemas.openxmlformats.org/officeDocument/2006/customXml" ds:itemID="{2FD304A0-66D8-4641-9303-31C261AE05CB}">
  <ds:schemaRefs/>
</ds:datastoreItem>
</file>

<file path=customXml/itemProps12.xml><?xml version="1.0" encoding="utf-8"?>
<ds:datastoreItem xmlns:ds="http://schemas.openxmlformats.org/officeDocument/2006/customXml" ds:itemID="{2137DF81-3BED-479B-8165-F10F6BFC8615}">
  <ds:schemaRefs/>
</ds:datastoreItem>
</file>

<file path=customXml/itemProps13.xml><?xml version="1.0" encoding="utf-8"?>
<ds:datastoreItem xmlns:ds="http://schemas.openxmlformats.org/officeDocument/2006/customXml" ds:itemID="{25FC8A62-EB9B-42E5-A9A8-3174F93FD29E}">
  <ds:schemaRefs/>
</ds:datastoreItem>
</file>

<file path=customXml/itemProps14.xml><?xml version="1.0" encoding="utf-8"?>
<ds:datastoreItem xmlns:ds="http://schemas.openxmlformats.org/officeDocument/2006/customXml" ds:itemID="{85600F1D-5351-4A66-9053-83DA609152F3}">
  <ds:schemaRefs/>
</ds:datastoreItem>
</file>

<file path=customXml/itemProps15.xml><?xml version="1.0" encoding="utf-8"?>
<ds:datastoreItem xmlns:ds="http://schemas.openxmlformats.org/officeDocument/2006/customXml" ds:itemID="{036D5245-AA47-42B5-9F8E-77322F1EA6F2}">
  <ds:schemaRefs/>
</ds:datastoreItem>
</file>

<file path=customXml/itemProps16.xml><?xml version="1.0" encoding="utf-8"?>
<ds:datastoreItem xmlns:ds="http://schemas.openxmlformats.org/officeDocument/2006/customXml" ds:itemID="{00D3A26A-EC14-492F-ADE3-64ED8CDB92F9}">
  <ds:schemaRefs/>
</ds:datastoreItem>
</file>

<file path=customXml/itemProps17.xml><?xml version="1.0" encoding="utf-8"?>
<ds:datastoreItem xmlns:ds="http://schemas.openxmlformats.org/officeDocument/2006/customXml" ds:itemID="{8F4E958B-E8CC-4160-BA6A-44A0F2ADBDF5}">
  <ds:schemaRefs/>
</ds:datastoreItem>
</file>

<file path=customXml/itemProps18.xml><?xml version="1.0" encoding="utf-8"?>
<ds:datastoreItem xmlns:ds="http://schemas.openxmlformats.org/officeDocument/2006/customXml" ds:itemID="{8C4135E9-C7AE-4135-9020-028D290E69AB}">
  <ds:schemaRefs/>
</ds:datastoreItem>
</file>

<file path=customXml/itemProps19.xml><?xml version="1.0" encoding="utf-8"?>
<ds:datastoreItem xmlns:ds="http://schemas.openxmlformats.org/officeDocument/2006/customXml" ds:itemID="{87DB38F5-4F16-401E-B8CA-7549BB855CCB}">
  <ds:schemaRefs/>
</ds:datastoreItem>
</file>

<file path=customXml/itemProps20.xml><?xml version="1.0" encoding="utf-8"?>
<ds:datastoreItem xmlns:ds="http://schemas.openxmlformats.org/officeDocument/2006/customXml" ds:itemID="{ECC83B25-ED81-4F47-ADA3-3CDC15A64F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pilwalkarprakash@gmail.com</dc:creator>
  <cp:lastModifiedBy>pilwalkarprakash@gmail.com</cp:lastModifiedBy>
  <dcterms:created xsi:type="dcterms:W3CDTF">2026-03-18T16:18:55Z</dcterms:created>
  <dcterms:modified xsi:type="dcterms:W3CDTF">2026-03-18T20:34:43Z</dcterms:modified>
</cp:coreProperties>
</file>